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alers" sheetId="2" state="visible" r:id="rId4"/>
    <sheet name="Parts" sheetId="3" state="visible" r:id="rId5"/>
    <sheet name="PurchaseOrders" sheetId="4" state="visible" r:id="rId6"/>
    <sheet name="Shipments" sheetId="5" state="visible" r:id="rId7"/>
    <sheet name="Claims" sheetId="6" state="visible" r:id="rId8"/>
    <sheet name="Inventory" sheetId="7" state="visible" r:id="rId9"/>
    <sheet name="BOM" sheetId="8" state="visible" r:id="rId10"/>
    <sheet name="Knowledge" sheetId="9" state="visible" r:id="rId11"/>
    <sheet name="ANSWER_KEY" sheetId="10" state="hidden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<sst xmlns="http://schemas.openxmlformats.org/spreadsheetml/2006/main" count="3475" uniqueCount="1180">
  <si>
    <t xml:space="preserve">Parts Pilot — Synthetic After-Sales Dataset</t>
  </si>
  <si>
    <t xml:space="preserve">Purpose: Hackathon starter data for the 'Parts Pilot' after-sales challenge. 100% synthetic; no real company, customer, dealer or vendor data.</t>
  </si>
  <si>
    <t xml:space="preserve">Generated with a FIXED random seed (42) for reproducibility.</t>
  </si>
  <si>
    <t xml:space="preserve">SOURCE-SYSTEM ANALOGY: This workbook simulates a multi-module After-Sales ERP/DMS export delivered to business users as Excel (the realistic real-world delivery format for this domain).</t>
  </si>
  <si>
    <t xml:space="preserve">SHEETS (business entities):</t>
  </si>
  <si>
    <t xml:space="preserve">  • Dealers        — dealer/service-partner master data</t>
  </si>
  <si>
    <t xml:space="preserve">  • Parts          — parts master (price, warranty, supplier, status)</t>
  </si>
  <si>
    <t xml:space="preserve">  • PurchaseOrders — line-level purchase orders (links Dealers + Parts + Shipments)</t>
  </si>
  <si>
    <t xml:space="preserve">  • Shipments      — outbound shipment tracking per PO</t>
  </si>
  <si>
    <t xml:space="preserve">  • Claims         — warranty / return / goodwill claims</t>
  </si>
  <si>
    <t xml:space="preserve">  • Inventory      — stock on hand by part and warehouse</t>
  </si>
  <si>
    <t xml:space="preserve">  • BOM            — bill of materials (assembly → component)</t>
  </si>
  <si>
    <t xml:space="preserve">  • Knowledge      — SOP / FAQ / policy / error-code catalog (the 'unstructured' knowledge index)</t>
  </si>
  <si>
    <t xml:space="preserve">  • ANSWER_KEY     — HIDDEN. Seeded scenario catalog for organizers/judges only.</t>
  </si>
  <si>
    <t xml:space="preserve">KEYS / JOINS:</t>
  </si>
  <si>
    <t xml:space="preserve">  DealerID  : Dealers ↔ PurchaseOrders ↔ Claims ↔ Shipments</t>
  </si>
  <si>
    <t xml:space="preserve">  PartNo    : Parts ↔ PurchaseOrders ↔ Claims ↔ Inventory ↔ BOM</t>
  </si>
  <si>
    <t xml:space="preserve">  PO_No     : PurchaseOrders ↔ Shipments ↔ Claims</t>
  </si>
  <si>
    <t xml:space="preserve">  ShipmentID: Shipments ↔ PurchaseOrders</t>
  </si>
  <si>
    <t xml:space="preserve">  ErrorCode : Claims/notes ↔ Knowledge</t>
  </si>
  <si>
    <t xml:space="preserve">HINT: Amber-shaded rows contain a seeded issue/scenario. Several issues are only visible when sheets are JOINED.</t>
  </si>
  <si>
    <t xml:space="preserve">Judges may run solutions against a MODIFIED copy with different IDs and additional scenarios — do not hardcode to specific record IDs.</t>
  </si>
  <si>
    <t xml:space="preserve">Computed columns (LineTotalEUR, AvailableQty) use live Excel formulas.</t>
  </si>
  <si>
    <t xml:space="preserve">DealerID</t>
  </si>
  <si>
    <t xml:space="preserve">DealerName</t>
  </si>
  <si>
    <t xml:space="preserve">Region</t>
  </si>
  <si>
    <t xml:space="preserve">Country</t>
  </si>
  <si>
    <t xml:space="preserve">City</t>
  </si>
  <si>
    <t xml:space="preserve">Tier</t>
  </si>
  <si>
    <t xml:space="preserve">Status</t>
  </si>
  <si>
    <t xml:space="preserve">ContactEmail</t>
  </si>
  <si>
    <t xml:space="preserve">CreditLimitEUR</t>
  </si>
  <si>
    <t xml:space="preserve">OnboardedDate</t>
  </si>
  <si>
    <t xml:space="preserve">D001</t>
  </si>
  <si>
    <t xml:space="preserve">Detroit Motors</t>
  </si>
  <si>
    <t xml:space="preserve">NA</t>
  </si>
  <si>
    <t xml:space="preserve">USA</t>
  </si>
  <si>
    <t xml:space="preserve">Detroit</t>
  </si>
  <si>
    <t xml:space="preserve">Flagship</t>
  </si>
  <si>
    <t xml:space="preserve">Active</t>
  </si>
  <si>
    <t xml:space="preserve">parts@detroit-d001.example</t>
  </si>
  <si>
    <t xml:space="preserve">2020-05-16</t>
  </si>
  <si>
    <t xml:space="preserve">D002</t>
  </si>
  <si>
    <t xml:space="preserve">Lisbon Garage</t>
  </si>
  <si>
    <t xml:space="preserve">EU</t>
  </si>
  <si>
    <t xml:space="preserve">Portugal</t>
  </si>
  <si>
    <t xml:space="preserve">Lisbon</t>
  </si>
  <si>
    <t xml:space="preserve">Standard</t>
  </si>
  <si>
    <t xml:space="preserve">parts@lisbon-d002.example</t>
  </si>
  <si>
    <t xml:space="preserve">2022-10-17</t>
  </si>
  <si>
    <t xml:space="preserve">D003</t>
  </si>
  <si>
    <t xml:space="preserve">Satellite</t>
  </si>
  <si>
    <t xml:space="preserve">parts@detroit-d003.example</t>
  </si>
  <si>
    <t xml:space="preserve">2021-05-14</t>
  </si>
  <si>
    <t xml:space="preserve">D004</t>
  </si>
  <si>
    <t xml:space="preserve">Wolfsburg Motors</t>
  </si>
  <si>
    <t xml:space="preserve">Germany</t>
  </si>
  <si>
    <t xml:space="preserve">Wolfsburg</t>
  </si>
  <si>
    <t xml:space="preserve">parts@wolfsburg-d004.example</t>
  </si>
  <si>
    <t xml:space="preserve">2020-04-21</t>
  </si>
  <si>
    <t xml:space="preserve">D005</t>
  </si>
  <si>
    <t xml:space="preserve">Chennai Motors</t>
  </si>
  <si>
    <t xml:space="preserve">IN</t>
  </si>
  <si>
    <t xml:space="preserve">India</t>
  </si>
  <si>
    <t xml:space="preserve">Chennai</t>
  </si>
  <si>
    <t xml:space="preserve">parts@chennai-d005.example</t>
  </si>
  <si>
    <t xml:space="preserve">2020-02-12</t>
  </si>
  <si>
    <t xml:space="preserve">D006</t>
  </si>
  <si>
    <t xml:space="preserve">Detroit Werkstatt</t>
  </si>
  <si>
    <t xml:space="preserve">parts@detroit-d006.example</t>
  </si>
  <si>
    <t xml:space="preserve">2021-07-08</t>
  </si>
  <si>
    <t xml:space="preserve">D007</t>
  </si>
  <si>
    <t xml:space="preserve">Suspended</t>
  </si>
  <si>
    <t xml:space="preserve">parts@chennai-d007.example</t>
  </si>
  <si>
    <t xml:space="preserve">2022-11-30</t>
  </si>
  <si>
    <t xml:space="preserve">D008</t>
  </si>
  <si>
    <t xml:space="preserve">Pune Service Center</t>
  </si>
  <si>
    <t xml:space="preserve">Pune</t>
  </si>
  <si>
    <t xml:space="preserve">parts@pune-d008.example</t>
  </si>
  <si>
    <t xml:space="preserve">2020-03-16</t>
  </si>
  <si>
    <t xml:space="preserve">D009</t>
  </si>
  <si>
    <t xml:space="preserve">Chattanooga Motors</t>
  </si>
  <si>
    <t xml:space="preserve">Chattanooga</t>
  </si>
  <si>
    <t xml:space="preserve">parts@chattanooga-d009.example</t>
  </si>
  <si>
    <t xml:space="preserve">2021-02-17</t>
  </si>
  <si>
    <t xml:space="preserve">D010</t>
  </si>
  <si>
    <t xml:space="preserve">Wolfsburg Service Center</t>
  </si>
  <si>
    <t xml:space="preserve">parts@wolfsburg-d010.example</t>
  </si>
  <si>
    <t xml:space="preserve">2020-06-25</t>
  </si>
  <si>
    <t xml:space="preserve">D011</t>
  </si>
  <si>
    <t xml:space="preserve">Chattanooga Garage</t>
  </si>
  <si>
    <t xml:space="preserve">parts@chattanooga-d011.example</t>
  </si>
  <si>
    <t xml:space="preserve">2022-01-03</t>
  </si>
  <si>
    <t xml:space="preserve">D012</t>
  </si>
  <si>
    <t xml:space="preserve">parts@wolfsburg-d012.example</t>
  </si>
  <si>
    <t xml:space="preserve">2020-08-23</t>
  </si>
  <si>
    <t xml:space="preserve">D013</t>
  </si>
  <si>
    <t xml:space="preserve">Chattanooga Service Center</t>
  </si>
  <si>
    <t xml:space="preserve">parts@chattanooga-d013.example</t>
  </si>
  <si>
    <t xml:space="preserve">2020-01-29</t>
  </si>
  <si>
    <t xml:space="preserve">D014</t>
  </si>
  <si>
    <t xml:space="preserve">parts@detroit-d014.example</t>
  </si>
  <si>
    <t xml:space="preserve">2023-05-03</t>
  </si>
  <si>
    <t xml:space="preserve">D015</t>
  </si>
  <si>
    <t xml:space="preserve">Mladá Boleslav AutoParts</t>
  </si>
  <si>
    <t xml:space="preserve">Czechia</t>
  </si>
  <si>
    <t xml:space="preserve">Mladá Boleslav</t>
  </si>
  <si>
    <t xml:space="preserve">parts@mladáboleslav-d015.example</t>
  </si>
  <si>
    <t xml:space="preserve">D016</t>
  </si>
  <si>
    <t xml:space="preserve">Mladá Boleslav Garage</t>
  </si>
  <si>
    <t xml:space="preserve">parts@mladáboleslav-d016.example</t>
  </si>
  <si>
    <t xml:space="preserve">2019-11-30</t>
  </si>
  <si>
    <t xml:space="preserve">D017</t>
  </si>
  <si>
    <t xml:space="preserve">parts@mladáboleslav-d017.example</t>
  </si>
  <si>
    <t xml:space="preserve">2022-12-08</t>
  </si>
  <si>
    <t xml:space="preserve">D018</t>
  </si>
  <si>
    <t xml:space="preserve">Detroit Wheels</t>
  </si>
  <si>
    <t xml:space="preserve">parts@detroit-d018.example</t>
  </si>
  <si>
    <t xml:space="preserve">2021-12-29</t>
  </si>
  <si>
    <t xml:space="preserve">D019</t>
  </si>
  <si>
    <t xml:space="preserve">Detroit AutoParts</t>
  </si>
  <si>
    <t xml:space="preserve">parts@detroit-d019.example</t>
  </si>
  <si>
    <t xml:space="preserve">2021-02-16</t>
  </si>
  <si>
    <t xml:space="preserve">D020</t>
  </si>
  <si>
    <t xml:space="preserve">parts@mladáboleslav-d020.example</t>
  </si>
  <si>
    <t xml:space="preserve">2023-09-23</t>
  </si>
  <si>
    <t xml:space="preserve">D021</t>
  </si>
  <si>
    <t xml:space="preserve">Chattanooga AutoParts</t>
  </si>
  <si>
    <t xml:space="preserve">parts@chattanooga-d021.example</t>
  </si>
  <si>
    <t xml:space="preserve">2023-07-07</t>
  </si>
  <si>
    <t xml:space="preserve">D022</t>
  </si>
  <si>
    <t xml:space="preserve">Mladá Boleslav Service Center</t>
  </si>
  <si>
    <t xml:space="preserve">parts@mladáboleslav-d022.example</t>
  </si>
  <si>
    <t xml:space="preserve">2020-03-08</t>
  </si>
  <si>
    <t xml:space="preserve">D023</t>
  </si>
  <si>
    <t xml:space="preserve">Chennai AutoParts</t>
  </si>
  <si>
    <t xml:space="preserve">parts@chennai-d023.example</t>
  </si>
  <si>
    <t xml:space="preserve">2021-03-21</t>
  </si>
  <si>
    <t xml:space="preserve">D024</t>
  </si>
  <si>
    <t xml:space="preserve">parts@detroit-d024.example</t>
  </si>
  <si>
    <t xml:space="preserve">2019-10-13</t>
  </si>
  <si>
    <t xml:space="preserve">PartNo</t>
  </si>
  <si>
    <t xml:space="preserve">PartName</t>
  </si>
  <si>
    <t xml:space="preserve">Category</t>
  </si>
  <si>
    <t xml:space="preserve">UnitPriceEUR</t>
  </si>
  <si>
    <t xml:space="preserve">Currency</t>
  </si>
  <si>
    <t xml:space="preserve">WarrantyMonths</t>
  </si>
  <si>
    <t xml:space="preserve">SupplierID</t>
  </si>
  <si>
    <t xml:space="preserve">SupplierName</t>
  </si>
  <si>
    <t xml:space="preserve">HazmatFlag</t>
  </si>
  <si>
    <t xml:space="preserve">LeadTimeDays</t>
  </si>
  <si>
    <t xml:space="preserve">P-10001</t>
  </si>
  <si>
    <t xml:space="preserve">Body Bearing 651</t>
  </si>
  <si>
    <t xml:space="preserve">Body</t>
  </si>
  <si>
    <t xml:space="preserve">EUR</t>
  </si>
  <si>
    <t xml:space="preserve">S04</t>
  </si>
  <si>
    <t xml:space="preserve">ZF-syn</t>
  </si>
  <si>
    <t xml:space="preserve">N</t>
  </si>
  <si>
    <t xml:space="preserve">P-10002</t>
  </si>
  <si>
    <t xml:space="preserve">Cooling Hose 324</t>
  </si>
  <si>
    <t xml:space="preserve">Cooling</t>
  </si>
  <si>
    <t xml:space="preserve">S05</t>
  </si>
  <si>
    <t xml:space="preserve">Continental-syn</t>
  </si>
  <si>
    <t xml:space="preserve">Y</t>
  </si>
  <si>
    <t xml:space="preserve">P-10003</t>
  </si>
  <si>
    <t xml:space="preserve">Brake Disc 256</t>
  </si>
  <si>
    <t xml:space="preserve">Brake</t>
  </si>
  <si>
    <t xml:space="preserve">P-10004</t>
  </si>
  <si>
    <t xml:space="preserve">Cooling Filter 710</t>
  </si>
  <si>
    <t xml:space="preserve">S03</t>
  </si>
  <si>
    <t xml:space="preserve">Valeo-syn</t>
  </si>
  <si>
    <t xml:space="preserve">P-10005</t>
  </si>
  <si>
    <t xml:space="preserve">Filter Bearing 868</t>
  </si>
  <si>
    <t xml:space="preserve">Filter</t>
  </si>
  <si>
    <t xml:space="preserve">S01</t>
  </si>
  <si>
    <t xml:space="preserve">Bosch-syn</t>
  </si>
  <si>
    <t xml:space="preserve">P-10006</t>
  </si>
  <si>
    <t xml:space="preserve">Cooling Sensor 564</t>
  </si>
  <si>
    <t xml:space="preserve">P-10007</t>
  </si>
  <si>
    <t xml:space="preserve">Filter Module 961</t>
  </si>
  <si>
    <t xml:space="preserve">S02</t>
  </si>
  <si>
    <t xml:space="preserve">Mahle-syn</t>
  </si>
  <si>
    <t xml:space="preserve">Discontinued</t>
  </si>
  <si>
    <t xml:space="preserve">P-10008</t>
  </si>
  <si>
    <t xml:space="preserve">Suspension Sensor 652</t>
  </si>
  <si>
    <t xml:space="preserve">Suspension</t>
  </si>
  <si>
    <t xml:space="preserve">P-10009</t>
  </si>
  <si>
    <t xml:space="preserve">Suspension Kit 119</t>
  </si>
  <si>
    <t xml:space="preserve">P-10010</t>
  </si>
  <si>
    <t xml:space="preserve">Brake Pump 999</t>
  </si>
  <si>
    <t xml:space="preserve">P-10011</t>
  </si>
  <si>
    <t xml:space="preserve">Transmission Disc 878</t>
  </si>
  <si>
    <t xml:space="preserve">Transmission</t>
  </si>
  <si>
    <t xml:space="preserve">P-10012</t>
  </si>
  <si>
    <t xml:space="preserve">Transmission Bearing 269</t>
  </si>
  <si>
    <t xml:space="preserve">P-10013</t>
  </si>
  <si>
    <t xml:space="preserve">Body Module 508</t>
  </si>
  <si>
    <t xml:space="preserve">P-10014</t>
  </si>
  <si>
    <t xml:space="preserve">Transmission Disc 353</t>
  </si>
  <si>
    <t xml:space="preserve">P-10015</t>
  </si>
  <si>
    <t xml:space="preserve">Body Relay 325</t>
  </si>
  <si>
    <t xml:space="preserve">P-10016</t>
  </si>
  <si>
    <t xml:space="preserve">Brake Hose 172</t>
  </si>
  <si>
    <t xml:space="preserve">S06</t>
  </si>
  <si>
    <t xml:space="preserve">Denso-syn</t>
  </si>
  <si>
    <t xml:space="preserve">P-10017</t>
  </si>
  <si>
    <t xml:space="preserve">Body Bearing 235</t>
  </si>
  <si>
    <t xml:space="preserve">P-10018</t>
  </si>
  <si>
    <t xml:space="preserve">Body Kit 926</t>
  </si>
  <si>
    <t xml:space="preserve">P-10019</t>
  </si>
  <si>
    <t xml:space="preserve">Cooling Hose 533</t>
  </si>
  <si>
    <t xml:space="preserve">P-10020</t>
  </si>
  <si>
    <t xml:space="preserve">Cooling Hose 919</t>
  </si>
  <si>
    <t xml:space="preserve">P-10021</t>
  </si>
  <si>
    <t xml:space="preserve">Transmission Sensor 532</t>
  </si>
  <si>
    <t xml:space="preserve">P-10022</t>
  </si>
  <si>
    <t xml:space="preserve">Transmission Bearing 200</t>
  </si>
  <si>
    <t xml:space="preserve">P-10023</t>
  </si>
  <si>
    <t xml:space="preserve">Body Sensor 516</t>
  </si>
  <si>
    <t xml:space="preserve">P-10024</t>
  </si>
  <si>
    <t xml:space="preserve">Electrical Filter 102</t>
  </si>
  <si>
    <t xml:space="preserve">Electrical</t>
  </si>
  <si>
    <t xml:space="preserve">P-10025</t>
  </si>
  <si>
    <t xml:space="preserve">Transmission Sensor 294</t>
  </si>
  <si>
    <t xml:space="preserve">P-10026</t>
  </si>
  <si>
    <t xml:space="preserve">Brake Hose 158</t>
  </si>
  <si>
    <t xml:space="preserve">P-10027</t>
  </si>
  <si>
    <t xml:space="preserve">Electrical Pad 620</t>
  </si>
  <si>
    <t xml:space="preserve">P-10028</t>
  </si>
  <si>
    <t xml:space="preserve">Body Filter 222</t>
  </si>
  <si>
    <t xml:space="preserve">P-10029</t>
  </si>
  <si>
    <t xml:space="preserve">Brake Relay 183</t>
  </si>
  <si>
    <t xml:space="preserve">P-10030</t>
  </si>
  <si>
    <t xml:space="preserve">Suspension Module 309</t>
  </si>
  <si>
    <t xml:space="preserve">P-10031</t>
  </si>
  <si>
    <t xml:space="preserve">Cooling Sensor 787</t>
  </si>
  <si>
    <t xml:space="preserve">P-10032</t>
  </si>
  <si>
    <t xml:space="preserve">Transmission Relay 676</t>
  </si>
  <si>
    <t xml:space="preserve">P-10033</t>
  </si>
  <si>
    <t xml:space="preserve">Engine Sensor 457</t>
  </si>
  <si>
    <t xml:space="preserve">Engine</t>
  </si>
  <si>
    <t xml:space="preserve">P-10034</t>
  </si>
  <si>
    <t xml:space="preserve">Transmission Bearing 820</t>
  </si>
  <si>
    <t xml:space="preserve">P-10035</t>
  </si>
  <si>
    <t xml:space="preserve">Engine Disc 999</t>
  </si>
  <si>
    <t xml:space="preserve">P-10036</t>
  </si>
  <si>
    <t xml:space="preserve">Engine Relay 315</t>
  </si>
  <si>
    <t xml:space="preserve">P-10037</t>
  </si>
  <si>
    <t xml:space="preserve">Transmission Module 966</t>
  </si>
  <si>
    <t xml:space="preserve">P-10038</t>
  </si>
  <si>
    <t xml:space="preserve">Brake Hose 889</t>
  </si>
  <si>
    <t xml:space="preserve">P-10039</t>
  </si>
  <si>
    <t xml:space="preserve">Transmission Bearing 822</t>
  </si>
  <si>
    <t xml:space="preserve">P-10040</t>
  </si>
  <si>
    <t xml:space="preserve">Electrical Bearing 136</t>
  </si>
  <si>
    <t xml:space="preserve">P-10041</t>
  </si>
  <si>
    <t xml:space="preserve">Electrical Pad 415</t>
  </si>
  <si>
    <t xml:space="preserve">P-10042</t>
  </si>
  <si>
    <t xml:space="preserve">Body Disc 462</t>
  </si>
  <si>
    <t xml:space="preserve">P-10043</t>
  </si>
  <si>
    <t xml:space="preserve">Electrical Pump 985</t>
  </si>
  <si>
    <t xml:space="preserve">P-10044</t>
  </si>
  <si>
    <t xml:space="preserve">Suspension Filter 921</t>
  </si>
  <si>
    <t xml:space="preserve">P-10045</t>
  </si>
  <si>
    <t xml:space="preserve">Filter Filter 993</t>
  </si>
  <si>
    <t xml:space="preserve">P-10046</t>
  </si>
  <si>
    <t xml:space="preserve">Transmission Hose 412</t>
  </si>
  <si>
    <t xml:space="preserve">P-10047</t>
  </si>
  <si>
    <t xml:space="preserve">Body Filter 436</t>
  </si>
  <si>
    <t xml:space="preserve">P-10048</t>
  </si>
  <si>
    <t xml:space="preserve">Cooling Bearing 439</t>
  </si>
  <si>
    <t xml:space="preserve">P-10049</t>
  </si>
  <si>
    <t xml:space="preserve">Engine Pad 211</t>
  </si>
  <si>
    <t xml:space="preserve">P-10050</t>
  </si>
  <si>
    <t xml:space="preserve">Filter Filter 690</t>
  </si>
  <si>
    <t xml:space="preserve">P-10051</t>
  </si>
  <si>
    <t xml:space="preserve">Brake Bearing 925</t>
  </si>
  <si>
    <t xml:space="preserve">P-10052</t>
  </si>
  <si>
    <t xml:space="preserve">Filter Hose 738</t>
  </si>
  <si>
    <t xml:space="preserve">P-10053</t>
  </si>
  <si>
    <t xml:space="preserve">Engine Filter 434</t>
  </si>
  <si>
    <t xml:space="preserve">P-10054</t>
  </si>
  <si>
    <t xml:space="preserve">Cooling Filter 793</t>
  </si>
  <si>
    <t xml:space="preserve">P-10055</t>
  </si>
  <si>
    <t xml:space="preserve">Brake Module 393</t>
  </si>
  <si>
    <t xml:space="preserve">P-10056</t>
  </si>
  <si>
    <t xml:space="preserve">Suspension Kit 552</t>
  </si>
  <si>
    <t xml:space="preserve">P-10057</t>
  </si>
  <si>
    <t xml:space="preserve">Electrical Disc 390</t>
  </si>
  <si>
    <t xml:space="preserve">P-10058</t>
  </si>
  <si>
    <t xml:space="preserve">Engine Pump 925</t>
  </si>
  <si>
    <t xml:space="preserve">P-10059</t>
  </si>
  <si>
    <t xml:space="preserve">Filter Kit 524</t>
  </si>
  <si>
    <t xml:space="preserve">P-10060</t>
  </si>
  <si>
    <t xml:space="preserve">Cooling Kit 509</t>
  </si>
  <si>
    <t xml:space="preserve">PO_No</t>
  </si>
  <si>
    <t xml:space="preserve">PO_LineNo</t>
  </si>
  <si>
    <t xml:space="preserve">OrderQty</t>
  </si>
  <si>
    <t xml:space="preserve">LineTotalEUR</t>
  </si>
  <si>
    <t xml:space="preserve">OrderDate</t>
  </si>
  <si>
    <t xml:space="preserve">RequestedDeliveryDate</t>
  </si>
  <si>
    <t xml:space="preserve">POStatus</t>
  </si>
  <si>
    <t xml:space="preserve">ShipmentID</t>
  </si>
  <si>
    <t xml:space="preserve">PO-2026-1001</t>
  </si>
  <si>
    <t xml:space="preserve">2026-04-28</t>
  </si>
  <si>
    <t xml:space="preserve">2026-05-10</t>
  </si>
  <si>
    <t xml:space="preserve">Confirmed</t>
  </si>
  <si>
    <t xml:space="preserve">2026-05-17</t>
  </si>
  <si>
    <t xml:space="preserve">PO-2026-1002</t>
  </si>
  <si>
    <t xml:space="preserve">2026-03-21</t>
  </si>
  <si>
    <t xml:space="preserve">2026-04-05</t>
  </si>
  <si>
    <t xml:space="preserve">Open</t>
  </si>
  <si>
    <t xml:space="preserve">SHP-5038</t>
  </si>
  <si>
    <t xml:space="preserve">2026-04-11</t>
  </si>
  <si>
    <t xml:space="preserve">PO-2026-1003</t>
  </si>
  <si>
    <t xml:space="preserve">2026-04-20</t>
  </si>
  <si>
    <t xml:space="preserve">2026-05-02</t>
  </si>
  <si>
    <t xml:space="preserve">PO-2026-1004</t>
  </si>
  <si>
    <t xml:space="preserve">2026-04-27</t>
  </si>
  <si>
    <t xml:space="preserve">PO-2026-1005</t>
  </si>
  <si>
    <t xml:space="preserve">2026-06-26</t>
  </si>
  <si>
    <t xml:space="preserve">2026-07-05</t>
  </si>
  <si>
    <t xml:space="preserve">Delivered</t>
  </si>
  <si>
    <t xml:space="preserve">SHP-5001</t>
  </si>
  <si>
    <t xml:space="preserve">PO-2026-1006</t>
  </si>
  <si>
    <t xml:space="preserve">2026-05-24</t>
  </si>
  <si>
    <t xml:space="preserve">2026-06-12</t>
  </si>
  <si>
    <t xml:space="preserve">PO-2026-1007</t>
  </si>
  <si>
    <t xml:space="preserve">2026-05-23</t>
  </si>
  <si>
    <t xml:space="preserve">2026-05-28</t>
  </si>
  <si>
    <t xml:space="preserve">PO-2026-1008</t>
  </si>
  <si>
    <t xml:space="preserve">2026-09-06</t>
  </si>
  <si>
    <t xml:space="preserve">2026-09-26</t>
  </si>
  <si>
    <t xml:space="preserve">Shipped</t>
  </si>
  <si>
    <t xml:space="preserve">SHP-5002</t>
  </si>
  <si>
    <t xml:space="preserve">PO-2026-1009</t>
  </si>
  <si>
    <t xml:space="preserve">2026-03-20</t>
  </si>
  <si>
    <t xml:space="preserve">2026-03-30</t>
  </si>
  <si>
    <t xml:space="preserve">Backordered</t>
  </si>
  <si>
    <t xml:space="preserve">PO-2026-1010</t>
  </si>
  <si>
    <t xml:space="preserve">2026-04-01</t>
  </si>
  <si>
    <t xml:space="preserve">2026-04-06</t>
  </si>
  <si>
    <t xml:space="preserve">2026-04-10</t>
  </si>
  <si>
    <t xml:space="preserve">PO-2026-1011</t>
  </si>
  <si>
    <t xml:space="preserve">2026-07-03</t>
  </si>
  <si>
    <t xml:space="preserve">2026-07-22</t>
  </si>
  <si>
    <t xml:space="preserve">PO-2026-1012</t>
  </si>
  <si>
    <t xml:space="preserve">2026-06-02</t>
  </si>
  <si>
    <t xml:space="preserve">2026-06-18</t>
  </si>
  <si>
    <t xml:space="preserve">SHP-5003</t>
  </si>
  <si>
    <t xml:space="preserve">PO-2026-1013</t>
  </si>
  <si>
    <t xml:space="preserve">2026-03-25</t>
  </si>
  <si>
    <t xml:space="preserve">2026-04-14</t>
  </si>
  <si>
    <t xml:space="preserve">SHP-5004</t>
  </si>
  <si>
    <t xml:space="preserve">PO-2026-1014</t>
  </si>
  <si>
    <t xml:space="preserve">2026-07-14</t>
  </si>
  <si>
    <t xml:space="preserve">2026-07-30</t>
  </si>
  <si>
    <t xml:space="preserve">PO-2026-1015</t>
  </si>
  <si>
    <t xml:space="preserve">2026-08-09</t>
  </si>
  <si>
    <t xml:space="preserve">2026-08-23</t>
  </si>
  <si>
    <t xml:space="preserve">Cancelled</t>
  </si>
  <si>
    <t xml:space="preserve">PO-2026-1016</t>
  </si>
  <si>
    <t xml:space="preserve">2026-06-20</t>
  </si>
  <si>
    <t xml:space="preserve">2026-07-07</t>
  </si>
  <si>
    <t xml:space="preserve">PO-2026-1017</t>
  </si>
  <si>
    <t xml:space="preserve">2026-04-09</t>
  </si>
  <si>
    <t xml:space="preserve">2026-04-17</t>
  </si>
  <si>
    <t xml:space="preserve">PO-2026-1018</t>
  </si>
  <si>
    <t xml:space="preserve">2026-03-16</t>
  </si>
  <si>
    <t xml:space="preserve">2026-03-22</t>
  </si>
  <si>
    <t xml:space="preserve">2026-04-03</t>
  </si>
  <si>
    <t xml:space="preserve">PO-2026-1019</t>
  </si>
  <si>
    <t xml:space="preserve">2026-05-01</t>
  </si>
  <si>
    <t xml:space="preserve">2026-05-19</t>
  </si>
  <si>
    <t xml:space="preserve">PO-2026-1020</t>
  </si>
  <si>
    <t xml:space="preserve">2026-06-07</t>
  </si>
  <si>
    <t xml:space="preserve">2026-06-16</t>
  </si>
  <si>
    <t xml:space="preserve">PO-2026-1021</t>
  </si>
  <si>
    <t xml:space="preserve">PO-2026-1022</t>
  </si>
  <si>
    <t xml:space="preserve">2026-04-26</t>
  </si>
  <si>
    <t xml:space="preserve">SHP-5005</t>
  </si>
  <si>
    <t xml:space="preserve">PO-2026-1023</t>
  </si>
  <si>
    <t xml:space="preserve">2026-06-29</t>
  </si>
  <si>
    <t xml:space="preserve">SHP-5006</t>
  </si>
  <si>
    <t xml:space="preserve">PO-2026-1024</t>
  </si>
  <si>
    <t xml:space="preserve">2026-07-21</t>
  </si>
  <si>
    <t xml:space="preserve">SHP-5007</t>
  </si>
  <si>
    <t xml:space="preserve">PO-2026-1025</t>
  </si>
  <si>
    <t xml:space="preserve">2026-07-13</t>
  </si>
  <si>
    <t xml:space="preserve">2026-07-27</t>
  </si>
  <si>
    <t xml:space="preserve">PO-2026-1026</t>
  </si>
  <si>
    <t xml:space="preserve">2026-05-09</t>
  </si>
  <si>
    <t xml:space="preserve">2026-05-27</t>
  </si>
  <si>
    <t xml:space="preserve">PO-2026-1027</t>
  </si>
  <si>
    <t xml:space="preserve">2026-06-09</t>
  </si>
  <si>
    <t xml:space="preserve">2026-06-23</t>
  </si>
  <si>
    <t xml:space="preserve">PO-2026-1028</t>
  </si>
  <si>
    <t xml:space="preserve">2026-07-20</t>
  </si>
  <si>
    <t xml:space="preserve">2026-08-10</t>
  </si>
  <si>
    <t xml:space="preserve">SHP-5008</t>
  </si>
  <si>
    <t xml:space="preserve">PO-2026-1029</t>
  </si>
  <si>
    <t xml:space="preserve">2026-08-13</t>
  </si>
  <si>
    <t xml:space="preserve">2026-08-25</t>
  </si>
  <si>
    <t xml:space="preserve">PO-2026-1030</t>
  </si>
  <si>
    <t xml:space="preserve">2026-09-04</t>
  </si>
  <si>
    <t xml:space="preserve">2026-09-17</t>
  </si>
  <si>
    <t xml:space="preserve">PO-2026-1031</t>
  </si>
  <si>
    <t xml:space="preserve">2026-04-19</t>
  </si>
  <si>
    <t xml:space="preserve">SHP-5009</t>
  </si>
  <si>
    <t xml:space="preserve">2026-05-04</t>
  </si>
  <si>
    <t xml:space="preserve">PO-2026-1032</t>
  </si>
  <si>
    <t xml:space="preserve">2026-08-22</t>
  </si>
  <si>
    <t xml:space="preserve">2026-08-28</t>
  </si>
  <si>
    <t xml:space="preserve">PO-2026-1033</t>
  </si>
  <si>
    <t xml:space="preserve">2026-04-16</t>
  </si>
  <si>
    <t xml:space="preserve">2026-04-30</t>
  </si>
  <si>
    <t xml:space="preserve">SHP-5010</t>
  </si>
  <si>
    <t xml:space="preserve">PO-2026-1034</t>
  </si>
  <si>
    <t xml:space="preserve">2026-06-21</t>
  </si>
  <si>
    <t xml:space="preserve">2026-07-02</t>
  </si>
  <si>
    <t xml:space="preserve">2026-07-01</t>
  </si>
  <si>
    <t xml:space="preserve">PO-2026-1035</t>
  </si>
  <si>
    <t xml:space="preserve">2026-08-19</t>
  </si>
  <si>
    <t xml:space="preserve">2026-09-02</t>
  </si>
  <si>
    <t xml:space="preserve">SHP-5011</t>
  </si>
  <si>
    <t xml:space="preserve">PO-2026-1036</t>
  </si>
  <si>
    <t xml:space="preserve">2026-08-20</t>
  </si>
  <si>
    <t xml:space="preserve">2026-08-31</t>
  </si>
  <si>
    <t xml:space="preserve">2026-09-01</t>
  </si>
  <si>
    <t xml:space="preserve">PO-2026-1037</t>
  </si>
  <si>
    <t xml:space="preserve">PO-2026-1038</t>
  </si>
  <si>
    <t xml:space="preserve">2026-04-08</t>
  </si>
  <si>
    <t xml:space="preserve">2026-04-22</t>
  </si>
  <si>
    <t xml:space="preserve">PO-2026-1039</t>
  </si>
  <si>
    <t xml:space="preserve">2026-06-11</t>
  </si>
  <si>
    <t xml:space="preserve">SHP-5012</t>
  </si>
  <si>
    <t xml:space="preserve">PO-2026-1040</t>
  </si>
  <si>
    <t xml:space="preserve">2026-08-15</t>
  </si>
  <si>
    <t xml:space="preserve">SHP-5013</t>
  </si>
  <si>
    <t xml:space="preserve">PO-2026-1041</t>
  </si>
  <si>
    <t xml:space="preserve">2026-06-28</t>
  </si>
  <si>
    <t xml:space="preserve">2026-07-16</t>
  </si>
  <si>
    <t xml:space="preserve">SHP-5014</t>
  </si>
  <si>
    <t xml:space="preserve">PO-2026-1042</t>
  </si>
  <si>
    <t xml:space="preserve">2026-08-12</t>
  </si>
  <si>
    <t xml:space="preserve">2026-08-30</t>
  </si>
  <si>
    <t xml:space="preserve">PO-2026-1043</t>
  </si>
  <si>
    <t xml:space="preserve">2026-03-28</t>
  </si>
  <si>
    <t xml:space="preserve">PO-2026-1044</t>
  </si>
  <si>
    <t xml:space="preserve">SHP-5015</t>
  </si>
  <si>
    <t xml:space="preserve">PO-2026-1045</t>
  </si>
  <si>
    <t xml:space="preserve">2026-03-31</t>
  </si>
  <si>
    <t xml:space="preserve">PO-2026-1046</t>
  </si>
  <si>
    <t xml:space="preserve">2026-05-06</t>
  </si>
  <si>
    <t xml:space="preserve">2026-05-18</t>
  </si>
  <si>
    <t xml:space="preserve">SHP-5016</t>
  </si>
  <si>
    <t xml:space="preserve">PO-2026-1047</t>
  </si>
  <si>
    <t xml:space="preserve">2026-08-08</t>
  </si>
  <si>
    <t xml:space="preserve">PO-2026-1048</t>
  </si>
  <si>
    <t xml:space="preserve">2026-06-30</t>
  </si>
  <si>
    <t xml:space="preserve">PO-2026-1049</t>
  </si>
  <si>
    <t xml:space="preserve">2026-08-01</t>
  </si>
  <si>
    <t xml:space="preserve">PO-2026-1050</t>
  </si>
  <si>
    <t xml:space="preserve">2026-08-21</t>
  </si>
  <si>
    <t xml:space="preserve">SHP-5017</t>
  </si>
  <si>
    <t xml:space="preserve">2026-09-07</t>
  </si>
  <si>
    <t xml:space="preserve">PO-2026-1051</t>
  </si>
  <si>
    <t xml:space="preserve">2026-08-07</t>
  </si>
  <si>
    <t xml:space="preserve">PO-2026-1052</t>
  </si>
  <si>
    <t xml:space="preserve">2026-04-02</t>
  </si>
  <si>
    <t xml:space="preserve">SHP-5018</t>
  </si>
  <si>
    <t xml:space="preserve">2026-04-12</t>
  </si>
  <si>
    <t xml:space="preserve">PO-2026-1053</t>
  </si>
  <si>
    <t xml:space="preserve">2026-09-03</t>
  </si>
  <si>
    <t xml:space="preserve">2026-08-26</t>
  </si>
  <si>
    <t xml:space="preserve">2026-09-05</t>
  </si>
  <si>
    <t xml:space="preserve">PO-2026-1054</t>
  </si>
  <si>
    <t xml:space="preserve">2026-05-13</t>
  </si>
  <si>
    <t xml:space="preserve">PO-2026-1055</t>
  </si>
  <si>
    <t xml:space="preserve">SHP-5019</t>
  </si>
  <si>
    <t xml:space="preserve">PO-2026-1056</t>
  </si>
  <si>
    <t xml:space="preserve">2026-08-24</t>
  </si>
  <si>
    <t xml:space="preserve">2026-09-10</t>
  </si>
  <si>
    <t xml:space="preserve">SHP-5020</t>
  </si>
  <si>
    <t xml:space="preserve">PO-2026-1057</t>
  </si>
  <si>
    <t xml:space="preserve">2026-05-03</t>
  </si>
  <si>
    <t xml:space="preserve">2026-05-22</t>
  </si>
  <si>
    <t xml:space="preserve">PO-2026-1058</t>
  </si>
  <si>
    <t xml:space="preserve">2026-07-04</t>
  </si>
  <si>
    <t xml:space="preserve">2026-07-18</t>
  </si>
  <si>
    <t xml:space="preserve">PO-2026-1059</t>
  </si>
  <si>
    <t xml:space="preserve">PO-2026-1060</t>
  </si>
  <si>
    <t xml:space="preserve">2026-03-15</t>
  </si>
  <si>
    <t xml:space="preserve">SHP-5021</t>
  </si>
  <si>
    <t xml:space="preserve">2026-03-29</t>
  </si>
  <si>
    <t xml:space="preserve">PO-2026-1061</t>
  </si>
  <si>
    <t xml:space="preserve">2026-09-25</t>
  </si>
  <si>
    <t xml:space="preserve">PO-2026-1062</t>
  </si>
  <si>
    <t xml:space="preserve">2026-07-11</t>
  </si>
  <si>
    <t xml:space="preserve">2026-07-23</t>
  </si>
  <si>
    <t xml:space="preserve">2026-07-24</t>
  </si>
  <si>
    <t xml:space="preserve">PO-2026-1063</t>
  </si>
  <si>
    <t xml:space="preserve">2026-03-23</t>
  </si>
  <si>
    <t xml:space="preserve">PO-2026-1064</t>
  </si>
  <si>
    <t xml:space="preserve">2026-06-06</t>
  </si>
  <si>
    <t xml:space="preserve">PO-2026-1065</t>
  </si>
  <si>
    <t xml:space="preserve">2026-07-25</t>
  </si>
  <si>
    <t xml:space="preserve">SHP-5022</t>
  </si>
  <si>
    <t xml:space="preserve">2026-08-02</t>
  </si>
  <si>
    <t xml:space="preserve">PO-2026-1066</t>
  </si>
  <si>
    <t xml:space="preserve">2026-08-18</t>
  </si>
  <si>
    <t xml:space="preserve">PO-2026-1067</t>
  </si>
  <si>
    <t xml:space="preserve">2026-03-19</t>
  </si>
  <si>
    <t xml:space="preserve">SHP-5023</t>
  </si>
  <si>
    <t xml:space="preserve">PO-2026-1068</t>
  </si>
  <si>
    <t xml:space="preserve">PO-2026-1069</t>
  </si>
  <si>
    <t xml:space="preserve">2026-08-03</t>
  </si>
  <si>
    <t xml:space="preserve">SHP-5024</t>
  </si>
  <si>
    <t xml:space="preserve">PO-2026-1070</t>
  </si>
  <si>
    <t xml:space="preserve">2026-04-07</t>
  </si>
  <si>
    <t xml:space="preserve">PO-2026-1071</t>
  </si>
  <si>
    <t xml:space="preserve">PO-2026-1072</t>
  </si>
  <si>
    <t xml:space="preserve">PO-2026-1073</t>
  </si>
  <si>
    <t xml:space="preserve">2026-06-05</t>
  </si>
  <si>
    <t xml:space="preserve">PO-2026-1074</t>
  </si>
  <si>
    <t xml:space="preserve">PO-2026-1075</t>
  </si>
  <si>
    <t xml:space="preserve">2026-04-21</t>
  </si>
  <si>
    <t xml:space="preserve">SHP-5025</t>
  </si>
  <si>
    <t xml:space="preserve">2026-04-25</t>
  </si>
  <si>
    <t xml:space="preserve">PO-2026-1076</t>
  </si>
  <si>
    <t xml:space="preserve">SHP-5026</t>
  </si>
  <si>
    <t xml:space="preserve">PO-2026-1077</t>
  </si>
  <si>
    <t xml:space="preserve">PO-2026-1078</t>
  </si>
  <si>
    <t xml:space="preserve">2026-08-11</t>
  </si>
  <si>
    <t xml:space="preserve">2026-08-17</t>
  </si>
  <si>
    <t xml:space="preserve">PO-2026-1079</t>
  </si>
  <si>
    <t xml:space="preserve">PO-2026-1080</t>
  </si>
  <si>
    <t xml:space="preserve">2026-05-05</t>
  </si>
  <si>
    <t xml:space="preserve">2026-05-12</t>
  </si>
  <si>
    <t xml:space="preserve">PO-2026-1081</t>
  </si>
  <si>
    <t xml:space="preserve">SHP-5027</t>
  </si>
  <si>
    <t xml:space="preserve">PO-2026-1082</t>
  </si>
  <si>
    <t xml:space="preserve">2026-07-28</t>
  </si>
  <si>
    <t xml:space="preserve">PO-2026-1083</t>
  </si>
  <si>
    <t xml:space="preserve">2026-06-19</t>
  </si>
  <si>
    <t xml:space="preserve">PO-2026-1084</t>
  </si>
  <si>
    <t xml:space="preserve">PO-2026-1085</t>
  </si>
  <si>
    <t xml:space="preserve">2026-06-15</t>
  </si>
  <si>
    <t xml:space="preserve">PO-2026-1086</t>
  </si>
  <si>
    <t xml:space="preserve">2026-06-25</t>
  </si>
  <si>
    <t xml:space="preserve">SHP-5028</t>
  </si>
  <si>
    <t xml:space="preserve">PO-2026-1087</t>
  </si>
  <si>
    <t xml:space="preserve">2026-04-29</t>
  </si>
  <si>
    <t xml:space="preserve">SHP-5029</t>
  </si>
  <si>
    <t xml:space="preserve">2026-04-24</t>
  </si>
  <si>
    <t xml:space="preserve">PO-2026-1088</t>
  </si>
  <si>
    <t xml:space="preserve">SHP-5030</t>
  </si>
  <si>
    <t xml:space="preserve">PO-2026-1089</t>
  </si>
  <si>
    <t xml:space="preserve">PO-2026-1090</t>
  </si>
  <si>
    <t xml:space="preserve">SHP-5031</t>
  </si>
  <si>
    <t xml:space="preserve">PO-2026-1091</t>
  </si>
  <si>
    <t xml:space="preserve">SHP-5032</t>
  </si>
  <si>
    <t xml:space="preserve">PO-2026-1092</t>
  </si>
  <si>
    <t xml:space="preserve">SHP-5033</t>
  </si>
  <si>
    <t xml:space="preserve">PO-2026-1093</t>
  </si>
  <si>
    <t xml:space="preserve">PO-2026-1094</t>
  </si>
  <si>
    <t xml:space="preserve">PO-2026-1095</t>
  </si>
  <si>
    <t xml:space="preserve">2026-09-15</t>
  </si>
  <si>
    <t xml:space="preserve">PO-2026-1096</t>
  </si>
  <si>
    <t xml:space="preserve">PO-2026-1097</t>
  </si>
  <si>
    <t xml:space="preserve">2026-07-26</t>
  </si>
  <si>
    <t xml:space="preserve">PO-2026-1098</t>
  </si>
  <si>
    <t xml:space="preserve">PO-2026-1099</t>
  </si>
  <si>
    <t xml:space="preserve">SHP-5034</t>
  </si>
  <si>
    <t xml:space="preserve">PO-2026-1100</t>
  </si>
  <si>
    <t xml:space="preserve">SHP-5035</t>
  </si>
  <si>
    <t xml:space="preserve">PO-2026-1101</t>
  </si>
  <si>
    <t xml:space="preserve">2026-06-03</t>
  </si>
  <si>
    <t xml:space="preserve">SHP-5036</t>
  </si>
  <si>
    <t xml:space="preserve">PO-2026-1102</t>
  </si>
  <si>
    <t xml:space="preserve">PO-2026-1103</t>
  </si>
  <si>
    <t xml:space="preserve">PO-2026-1104</t>
  </si>
  <si>
    <t xml:space="preserve">2026-09-08</t>
  </si>
  <si>
    <t xml:space="preserve">PO-2026-1105</t>
  </si>
  <si>
    <t xml:space="preserve">2026-05-08</t>
  </si>
  <si>
    <t xml:space="preserve">SHP-5037</t>
  </si>
  <si>
    <t xml:space="preserve">PO-2026-1106</t>
  </si>
  <si>
    <t xml:space="preserve">PO-2026-1107</t>
  </si>
  <si>
    <t xml:space="preserve">2026-08-29</t>
  </si>
  <si>
    <t xml:space="preserve">PO-2026-1108</t>
  </si>
  <si>
    <t xml:space="preserve">PO-2026-1109</t>
  </si>
  <si>
    <t xml:space="preserve">D999</t>
  </si>
  <si>
    <t xml:space="preserve">2026-08-16</t>
  </si>
  <si>
    <t xml:space="preserve">Carrier</t>
  </si>
  <si>
    <t xml:space="preserve">ShipDate</t>
  </si>
  <si>
    <t xml:space="preserve">EstDeliveryDate</t>
  </si>
  <si>
    <t xml:space="preserve">ActualDeliveryDate</t>
  </si>
  <si>
    <t xml:space="preserve">ShipmentStatus</t>
  </si>
  <si>
    <t xml:space="preserve">TrackingNo</t>
  </si>
  <si>
    <t xml:space="preserve">Qty</t>
  </si>
  <si>
    <t xml:space="preserve">DHL</t>
  </si>
  <si>
    <t xml:space="preserve">2026-07-06</t>
  </si>
  <si>
    <t xml:space="preserve">Lost</t>
  </si>
  <si>
    <t xml:space="preserve">DH1594312071</t>
  </si>
  <si>
    <t xml:space="preserve">UPS</t>
  </si>
  <si>
    <t xml:space="preserve">2026-09-09</t>
  </si>
  <si>
    <t xml:space="preserve">Delayed</t>
  </si>
  <si>
    <t xml:space="preserve">UP3096929657</t>
  </si>
  <si>
    <t xml:space="preserve">DB Schenker</t>
  </si>
  <si>
    <t xml:space="preserve">In Transit</t>
  </si>
  <si>
    <t xml:space="preserve">DB9673185158</t>
  </si>
  <si>
    <t xml:space="preserve">2026-03-26</t>
  </si>
  <si>
    <t xml:space="preserve">DH3668616333</t>
  </si>
  <si>
    <t xml:space="preserve">FedEx</t>
  </si>
  <si>
    <t xml:space="preserve">FE9081544414</t>
  </si>
  <si>
    <t xml:space="preserve">FE6756711494</t>
  </si>
  <si>
    <t xml:space="preserve">2026-07-31</t>
  </si>
  <si>
    <t xml:space="preserve">UP8261111839</t>
  </si>
  <si>
    <t xml:space="preserve">UP8467250120</t>
  </si>
  <si>
    <t xml:space="preserve">DH4748302739</t>
  </si>
  <si>
    <t xml:space="preserve">DB7539399243</t>
  </si>
  <si>
    <t xml:space="preserve">DB2250949136</t>
  </si>
  <si>
    <t xml:space="preserve">2026-06-01</t>
  </si>
  <si>
    <t xml:space="preserve">2026-06-10</t>
  </si>
  <si>
    <t xml:space="preserve">DH3568547910</t>
  </si>
  <si>
    <t xml:space="preserve">FE3474961963</t>
  </si>
  <si>
    <t xml:space="preserve">DB5162060546</t>
  </si>
  <si>
    <t xml:space="preserve">DB2774884818</t>
  </si>
  <si>
    <t xml:space="preserve">2026-05-07</t>
  </si>
  <si>
    <t xml:space="preserve">2026-05-15</t>
  </si>
  <si>
    <t xml:space="preserve">UP9648665968</t>
  </si>
  <si>
    <t xml:space="preserve">DH5933179746</t>
  </si>
  <si>
    <t xml:space="preserve">FE4735334423</t>
  </si>
  <si>
    <t xml:space="preserve">DH5726642606</t>
  </si>
  <si>
    <t xml:space="preserve">2026-08-27</t>
  </si>
  <si>
    <t xml:space="preserve">UP1773338452</t>
  </si>
  <si>
    <t xml:space="preserve">DB8960015186</t>
  </si>
  <si>
    <t xml:space="preserve">2026-08-05</t>
  </si>
  <si>
    <t xml:space="preserve">FE4566852761</t>
  </si>
  <si>
    <t xml:space="preserve">2026-03-24</t>
  </si>
  <si>
    <t xml:space="preserve">DH3898400928</t>
  </si>
  <si>
    <t xml:space="preserve">2026-08-04</t>
  </si>
  <si>
    <t xml:space="preserve">DH1417436465</t>
  </si>
  <si>
    <t xml:space="preserve">UP6295689007</t>
  </si>
  <si>
    <t xml:space="preserve">FE1067779246</t>
  </si>
  <si>
    <t xml:space="preserve">FE7895255573</t>
  </si>
  <si>
    <t xml:space="preserve">2026-06-14</t>
  </si>
  <si>
    <t xml:space="preserve">DB5759761714</t>
  </si>
  <si>
    <t xml:space="preserve">2026-04-18</t>
  </si>
  <si>
    <t xml:space="preserve">FE1124352982</t>
  </si>
  <si>
    <t xml:space="preserve">2026-05-30</t>
  </si>
  <si>
    <t xml:space="preserve">UP6910709963</t>
  </si>
  <si>
    <t xml:space="preserve">DB8137972345</t>
  </si>
  <si>
    <t xml:space="preserve">FE7842459488</t>
  </si>
  <si>
    <t xml:space="preserve">2026-04-13</t>
  </si>
  <si>
    <t xml:space="preserve">UP4295741120</t>
  </si>
  <si>
    <t xml:space="preserve">FE4500557310</t>
  </si>
  <si>
    <t xml:space="preserve">2026-04-15</t>
  </si>
  <si>
    <t xml:space="preserve">DB7783763790</t>
  </si>
  <si>
    <t xml:space="preserve">2026-05-31</t>
  </si>
  <si>
    <t xml:space="preserve">FE8715177240</t>
  </si>
  <si>
    <t xml:space="preserve">FE9952125442</t>
  </si>
  <si>
    <t xml:space="preserve">UP6857897124</t>
  </si>
  <si>
    <t xml:space="preserve">ClaimID</t>
  </si>
  <si>
    <t xml:space="preserve">ClaimType</t>
  </si>
  <si>
    <t xml:space="preserve">ClaimQty</t>
  </si>
  <si>
    <t xml:space="preserve">PurchaseDate</t>
  </si>
  <si>
    <t xml:space="preserve">ClaimDate</t>
  </si>
  <si>
    <t xml:space="preserve">ClaimStatus</t>
  </si>
  <si>
    <t xml:space="preserve">Reason</t>
  </si>
  <si>
    <t xml:space="preserve">ClaimAmountEUR</t>
  </si>
  <si>
    <t xml:space="preserve">ResolutionCode</t>
  </si>
  <si>
    <t xml:space="preserve">CLM-4001</t>
  </si>
  <si>
    <t xml:space="preserve">Return</t>
  </si>
  <si>
    <t xml:space="preserve">Defective</t>
  </si>
  <si>
    <t xml:space="preserve">RC-REFUND</t>
  </si>
  <si>
    <t xml:space="preserve">CLM-4002</t>
  </si>
  <si>
    <t xml:space="preserve">2026-07-19</t>
  </si>
  <si>
    <t xml:space="preserve">Paid</t>
  </si>
  <si>
    <t xml:space="preserve">RC-REPLACE</t>
  </si>
  <si>
    <t xml:space="preserve">CLM-4003</t>
  </si>
  <si>
    <t xml:space="preserve">Approved</t>
  </si>
  <si>
    <t xml:space="preserve">Warranty Failure</t>
  </si>
  <si>
    <t xml:space="preserve">CLM-4004</t>
  </si>
  <si>
    <t xml:space="preserve">Wrong Part</t>
  </si>
  <si>
    <t xml:space="preserve">RC-INVESTIGATE</t>
  </si>
  <si>
    <t xml:space="preserve">CLM-4005</t>
  </si>
  <si>
    <t xml:space="preserve">Warranty</t>
  </si>
  <si>
    <t xml:space="preserve">Pending Info</t>
  </si>
  <si>
    <t xml:space="preserve">RC-CREDIT</t>
  </si>
  <si>
    <t xml:space="preserve">CLM-4006</t>
  </si>
  <si>
    <t xml:space="preserve">RC-DENY</t>
  </si>
  <si>
    <t xml:space="preserve">CLM-4007</t>
  </si>
  <si>
    <t xml:space="preserve">CLM-4008</t>
  </si>
  <si>
    <t xml:space="preserve">CLM-4009</t>
  </si>
  <si>
    <t xml:space="preserve">CLM-4010</t>
  </si>
  <si>
    <t xml:space="preserve">Shipping Damage</t>
  </si>
  <si>
    <t xml:space="preserve">CLM-4011</t>
  </si>
  <si>
    <t xml:space="preserve">CLM-4012</t>
  </si>
  <si>
    <t xml:space="preserve">CLM-4013</t>
  </si>
  <si>
    <t xml:space="preserve">Goodwill</t>
  </si>
  <si>
    <t xml:space="preserve">CLM-4014</t>
  </si>
  <si>
    <t xml:space="preserve">CLM-4015</t>
  </si>
  <si>
    <t xml:space="preserve">Rejected</t>
  </si>
  <si>
    <t xml:space="preserve">CLM-4016</t>
  </si>
  <si>
    <t xml:space="preserve">CLM-4017</t>
  </si>
  <si>
    <t xml:space="preserve">CLM-4018</t>
  </si>
  <si>
    <t xml:space="preserve">CLM-4019</t>
  </si>
  <si>
    <t xml:space="preserve">CLM-4020</t>
  </si>
  <si>
    <t xml:space="preserve">CLM-4021</t>
  </si>
  <si>
    <t xml:space="preserve">CLM-4022</t>
  </si>
  <si>
    <t xml:space="preserve">CLM-4023</t>
  </si>
  <si>
    <t xml:space="preserve">CLM-4024</t>
  </si>
  <si>
    <t xml:space="preserve">CLM-4025</t>
  </si>
  <si>
    <t xml:space="preserve">CLM-4026</t>
  </si>
  <si>
    <t xml:space="preserve">CLM-4027</t>
  </si>
  <si>
    <t xml:space="preserve">CLM-4028</t>
  </si>
  <si>
    <t xml:space="preserve">CLM-4029</t>
  </si>
  <si>
    <t xml:space="preserve">CLM-4030</t>
  </si>
  <si>
    <t xml:space="preserve">CLM-4031</t>
  </si>
  <si>
    <t xml:space="preserve">CLM-4032</t>
  </si>
  <si>
    <t xml:space="preserve">CLM-4033</t>
  </si>
  <si>
    <t xml:space="preserve">Not Received</t>
  </si>
  <si>
    <t xml:space="preserve">CLM-4034</t>
  </si>
  <si>
    <t xml:space="preserve">PO-2026-0777</t>
  </si>
  <si>
    <t xml:space="preserve">2026-07-12</t>
  </si>
  <si>
    <t xml:space="preserve">CLM-4035</t>
  </si>
  <si>
    <t xml:space="preserve">CLM-4036</t>
  </si>
  <si>
    <t xml:space="preserve">CLM-4037</t>
  </si>
  <si>
    <t xml:space="preserve">RC-DENY-ERR-CLM-090</t>
  </si>
  <si>
    <t xml:space="preserve">InventoryID</t>
  </si>
  <si>
    <t xml:space="preserve">WarehouseLoc</t>
  </si>
  <si>
    <t xml:space="preserve">OnHandQty</t>
  </si>
  <si>
    <t xml:space="preserve">ReservedQty</t>
  </si>
  <si>
    <t xml:space="preserve">AvailableQty</t>
  </si>
  <si>
    <t xml:space="preserve">ReorderPoint</t>
  </si>
  <si>
    <t xml:space="preserve">BinLocation</t>
  </si>
  <si>
    <t xml:space="preserve">LastCountDate</t>
  </si>
  <si>
    <t xml:space="preserve">INV-0001</t>
  </si>
  <si>
    <t xml:space="preserve">WH-IN-PUN</t>
  </si>
  <si>
    <t xml:space="preserve">C4-9</t>
  </si>
  <si>
    <t xml:space="preserve">INV-0002</t>
  </si>
  <si>
    <t xml:space="preserve">C3-3</t>
  </si>
  <si>
    <t xml:space="preserve">INV-0003</t>
  </si>
  <si>
    <t xml:space="preserve">WH-NA-DET</t>
  </si>
  <si>
    <t xml:space="preserve">C18-7</t>
  </si>
  <si>
    <t xml:space="preserve">INV-0004</t>
  </si>
  <si>
    <t xml:space="preserve">WH-EU-FRA</t>
  </si>
  <si>
    <t xml:space="preserve">E12-1</t>
  </si>
  <si>
    <t xml:space="preserve">INV-0005</t>
  </si>
  <si>
    <t xml:space="preserve">B8-3</t>
  </si>
  <si>
    <t xml:space="preserve">INV-0006</t>
  </si>
  <si>
    <t xml:space="preserve">C29-3</t>
  </si>
  <si>
    <t xml:space="preserve">INV-0007</t>
  </si>
  <si>
    <t xml:space="preserve">D2-7</t>
  </si>
  <si>
    <t xml:space="preserve">INV-0008</t>
  </si>
  <si>
    <t xml:space="preserve">D8-9</t>
  </si>
  <si>
    <t xml:space="preserve">INV-0009</t>
  </si>
  <si>
    <t xml:space="preserve">B12-8</t>
  </si>
  <si>
    <t xml:space="preserve">INV-0010</t>
  </si>
  <si>
    <t xml:space="preserve">B27-4</t>
  </si>
  <si>
    <t xml:space="preserve">2026-06-24</t>
  </si>
  <si>
    <t xml:space="preserve">INV-0011</t>
  </si>
  <si>
    <t xml:space="preserve">E30-2</t>
  </si>
  <si>
    <t xml:space="preserve">INV-0012</t>
  </si>
  <si>
    <t xml:space="preserve">D29-9</t>
  </si>
  <si>
    <t xml:space="preserve">INV-0013</t>
  </si>
  <si>
    <t xml:space="preserve">A14-1</t>
  </si>
  <si>
    <t xml:space="preserve">INV-0014</t>
  </si>
  <si>
    <t xml:space="preserve">B1-6</t>
  </si>
  <si>
    <t xml:space="preserve">INV-0015</t>
  </si>
  <si>
    <t xml:space="preserve">A10-8</t>
  </si>
  <si>
    <t xml:space="preserve">INV-0016</t>
  </si>
  <si>
    <t xml:space="preserve">A1-5</t>
  </si>
  <si>
    <t xml:space="preserve">INV-0017</t>
  </si>
  <si>
    <t xml:space="preserve">C8-5</t>
  </si>
  <si>
    <t xml:space="preserve">INV-0018</t>
  </si>
  <si>
    <t xml:space="preserve">A4-8</t>
  </si>
  <si>
    <t xml:space="preserve">INV-0019</t>
  </si>
  <si>
    <t xml:space="preserve">A20-6</t>
  </si>
  <si>
    <t xml:space="preserve">INV-0020</t>
  </si>
  <si>
    <t xml:space="preserve">E12-2</t>
  </si>
  <si>
    <t xml:space="preserve">INV-0021</t>
  </si>
  <si>
    <t xml:space="preserve">A21-7</t>
  </si>
  <si>
    <t xml:space="preserve">INV-0022</t>
  </si>
  <si>
    <t xml:space="preserve">C26-2</t>
  </si>
  <si>
    <t xml:space="preserve">INV-0023</t>
  </si>
  <si>
    <t xml:space="preserve">B2-6</t>
  </si>
  <si>
    <t xml:space="preserve">INV-0024</t>
  </si>
  <si>
    <t xml:space="preserve">D21-3</t>
  </si>
  <si>
    <t xml:space="preserve">INV-0025</t>
  </si>
  <si>
    <t xml:space="preserve">B2-4</t>
  </si>
  <si>
    <t xml:space="preserve">INV-0026</t>
  </si>
  <si>
    <t xml:space="preserve">C2-4</t>
  </si>
  <si>
    <t xml:space="preserve">INV-0027</t>
  </si>
  <si>
    <t xml:space="preserve">C14-7</t>
  </si>
  <si>
    <t xml:space="preserve">2026-07-15</t>
  </si>
  <si>
    <t xml:space="preserve">INV-0028</t>
  </si>
  <si>
    <t xml:space="preserve">C30-9</t>
  </si>
  <si>
    <t xml:space="preserve">2026-08-06</t>
  </si>
  <si>
    <t xml:space="preserve">INV-0029</t>
  </si>
  <si>
    <t xml:space="preserve">E27-3</t>
  </si>
  <si>
    <t xml:space="preserve">INV-0030</t>
  </si>
  <si>
    <t xml:space="preserve">C10-8</t>
  </si>
  <si>
    <t xml:space="preserve">INV-0031</t>
  </si>
  <si>
    <t xml:space="preserve">A24-6</t>
  </si>
  <si>
    <t xml:space="preserve">INV-0032</t>
  </si>
  <si>
    <t xml:space="preserve">A22-7</t>
  </si>
  <si>
    <t xml:space="preserve">INV-0033</t>
  </si>
  <si>
    <t xml:space="preserve">A5-2</t>
  </si>
  <si>
    <t xml:space="preserve">INV-0034</t>
  </si>
  <si>
    <t xml:space="preserve">E2-3</t>
  </si>
  <si>
    <t xml:space="preserve">INV-0035</t>
  </si>
  <si>
    <t xml:space="preserve">E5-9</t>
  </si>
  <si>
    <t xml:space="preserve">INV-0036</t>
  </si>
  <si>
    <t xml:space="preserve">A24-3</t>
  </si>
  <si>
    <t xml:space="preserve">2026-07-08</t>
  </si>
  <si>
    <t xml:space="preserve">INV-0037</t>
  </si>
  <si>
    <t xml:space="preserve">D7-5</t>
  </si>
  <si>
    <t xml:space="preserve">2026-06-13</t>
  </si>
  <si>
    <t xml:space="preserve">INV-0038</t>
  </si>
  <si>
    <t xml:space="preserve">B28-2</t>
  </si>
  <si>
    <t xml:space="preserve">INV-0039</t>
  </si>
  <si>
    <t xml:space="preserve">C23-2</t>
  </si>
  <si>
    <t xml:space="preserve">INV-0040</t>
  </si>
  <si>
    <t xml:space="preserve">C17-4</t>
  </si>
  <si>
    <t xml:space="preserve">INV-0041</t>
  </si>
  <si>
    <t xml:space="preserve">D1-6</t>
  </si>
  <si>
    <t xml:space="preserve">INV-0042</t>
  </si>
  <si>
    <t xml:space="preserve">A10-7</t>
  </si>
  <si>
    <t xml:space="preserve">2026-07-10</t>
  </si>
  <si>
    <t xml:space="preserve">INV-0043</t>
  </si>
  <si>
    <t xml:space="preserve">E3-3</t>
  </si>
  <si>
    <t xml:space="preserve">INV-0044</t>
  </si>
  <si>
    <t xml:space="preserve">B29-9</t>
  </si>
  <si>
    <t xml:space="preserve">INV-0045</t>
  </si>
  <si>
    <t xml:space="preserve">E30-1</t>
  </si>
  <si>
    <t xml:space="preserve">INV-0046</t>
  </si>
  <si>
    <t xml:space="preserve">B12-9</t>
  </si>
  <si>
    <t xml:space="preserve">INV-0047</t>
  </si>
  <si>
    <t xml:space="preserve">E9-3</t>
  </si>
  <si>
    <t xml:space="preserve">INV-0048</t>
  </si>
  <si>
    <t xml:space="preserve">E19-3</t>
  </si>
  <si>
    <t xml:space="preserve">INV-0049</t>
  </si>
  <si>
    <t xml:space="preserve">A21-5</t>
  </si>
  <si>
    <t xml:space="preserve">INV-0050</t>
  </si>
  <si>
    <t xml:space="preserve">INV-0051</t>
  </si>
  <si>
    <t xml:space="preserve">D3-1</t>
  </si>
  <si>
    <t xml:space="preserve">INV-0052</t>
  </si>
  <si>
    <t xml:space="preserve">D7-6</t>
  </si>
  <si>
    <t xml:space="preserve">INV-0053</t>
  </si>
  <si>
    <t xml:space="preserve">B25-6</t>
  </si>
  <si>
    <t xml:space="preserve">INV-0054</t>
  </si>
  <si>
    <t xml:space="preserve">C15-4</t>
  </si>
  <si>
    <t xml:space="preserve">INV-0055</t>
  </si>
  <si>
    <t xml:space="preserve">D28-7</t>
  </si>
  <si>
    <t xml:space="preserve">INV-0056</t>
  </si>
  <si>
    <t xml:space="preserve">D17-8</t>
  </si>
  <si>
    <t xml:space="preserve">INV-0057</t>
  </si>
  <si>
    <t xml:space="preserve">E15-4</t>
  </si>
  <si>
    <t xml:space="preserve">INV-0058</t>
  </si>
  <si>
    <t xml:space="preserve">E29-8</t>
  </si>
  <si>
    <t xml:space="preserve">INV-0059</t>
  </si>
  <si>
    <t xml:space="preserve">D5-5</t>
  </si>
  <si>
    <t xml:space="preserve">INV-0060</t>
  </si>
  <si>
    <t xml:space="preserve">E18-4</t>
  </si>
  <si>
    <t xml:space="preserve">INV-0061</t>
  </si>
  <si>
    <t xml:space="preserve">E9-2</t>
  </si>
  <si>
    <t xml:space="preserve">INV-0062</t>
  </si>
  <si>
    <t xml:space="preserve">C18-6</t>
  </si>
  <si>
    <t xml:space="preserve">INV-0063</t>
  </si>
  <si>
    <t xml:space="preserve">A2-3</t>
  </si>
  <si>
    <t xml:space="preserve">2026-07-29</t>
  </si>
  <si>
    <t xml:space="preserve">INV-0064</t>
  </si>
  <si>
    <t xml:space="preserve">C30-6</t>
  </si>
  <si>
    <t xml:space="preserve">INV-0065</t>
  </si>
  <si>
    <t xml:space="preserve">E27-9</t>
  </si>
  <si>
    <t xml:space="preserve">INV-0066</t>
  </si>
  <si>
    <t xml:space="preserve">C11-2</t>
  </si>
  <si>
    <t xml:space="preserve">INV-0067</t>
  </si>
  <si>
    <t xml:space="preserve">A19-8</t>
  </si>
  <si>
    <t xml:space="preserve">INV-0068</t>
  </si>
  <si>
    <t xml:space="preserve">INV-0069</t>
  </si>
  <si>
    <t xml:space="preserve">C14-3</t>
  </si>
  <si>
    <t xml:space="preserve">INV-0070</t>
  </si>
  <si>
    <t xml:space="preserve">A23-3</t>
  </si>
  <si>
    <t xml:space="preserve">INV-0071</t>
  </si>
  <si>
    <t xml:space="preserve">C6-8</t>
  </si>
  <si>
    <t xml:space="preserve">INV-0072</t>
  </si>
  <si>
    <t xml:space="preserve">E16-4</t>
  </si>
  <si>
    <t xml:space="preserve">INV-0073</t>
  </si>
  <si>
    <t xml:space="preserve">C23-4</t>
  </si>
  <si>
    <t xml:space="preserve">INV-0074</t>
  </si>
  <si>
    <t xml:space="preserve">INV-0075</t>
  </si>
  <si>
    <t xml:space="preserve">B10-1</t>
  </si>
  <si>
    <t xml:space="preserve">INV-0076</t>
  </si>
  <si>
    <t xml:space="preserve">B7-9</t>
  </si>
  <si>
    <t xml:space="preserve">INV-0077</t>
  </si>
  <si>
    <t xml:space="preserve">B4-4</t>
  </si>
  <si>
    <t xml:space="preserve">INV-0078</t>
  </si>
  <si>
    <t xml:space="preserve">A4-7</t>
  </si>
  <si>
    <t xml:space="preserve">INV-0079</t>
  </si>
  <si>
    <t xml:space="preserve">D21-8</t>
  </si>
  <si>
    <t xml:space="preserve">INV-0080</t>
  </si>
  <si>
    <t xml:space="preserve">C21-1</t>
  </si>
  <si>
    <t xml:space="preserve">INV-0081</t>
  </si>
  <si>
    <t xml:space="preserve">B14-3</t>
  </si>
  <si>
    <t xml:space="preserve">INV-0082</t>
  </si>
  <si>
    <t xml:space="preserve">B30-5</t>
  </si>
  <si>
    <t xml:space="preserve">BOMID</t>
  </si>
  <si>
    <t xml:space="preserve">AssemblyPartNo</t>
  </si>
  <si>
    <t xml:space="preserve">ComponentPartNo</t>
  </si>
  <si>
    <t xml:space="preserve">QtyPer</t>
  </si>
  <si>
    <t xml:space="preserve">Level</t>
  </si>
  <si>
    <t xml:space="preserve">Notes</t>
  </si>
  <si>
    <t xml:space="preserve">BOM-001</t>
  </si>
  <si>
    <t xml:space="preserve">BOM-002</t>
  </si>
  <si>
    <t xml:space="preserve">BOM-003</t>
  </si>
  <si>
    <t xml:space="preserve">BOM-004</t>
  </si>
  <si>
    <t xml:space="preserve">BOM-005</t>
  </si>
  <si>
    <t xml:space="preserve">BOM-006</t>
  </si>
  <si>
    <t xml:space="preserve">BOM-007</t>
  </si>
  <si>
    <t xml:space="preserve">BOM-008</t>
  </si>
  <si>
    <t xml:space="preserve">BOM-009</t>
  </si>
  <si>
    <t xml:space="preserve">BOM-010</t>
  </si>
  <si>
    <t xml:space="preserve">BOM-011</t>
  </si>
  <si>
    <t xml:space="preserve">BOM-012</t>
  </si>
  <si>
    <t xml:space="preserve">BOM-013</t>
  </si>
  <si>
    <t xml:space="preserve">BOM-014</t>
  </si>
  <si>
    <t xml:space="preserve">BOM-015</t>
  </si>
  <si>
    <t xml:space="preserve">BOM-016</t>
  </si>
  <si>
    <t xml:space="preserve">BOM-017</t>
  </si>
  <si>
    <t xml:space="preserve">BOM-018</t>
  </si>
  <si>
    <t xml:space="preserve">BOM-019</t>
  </si>
  <si>
    <t xml:space="preserve">BOM-020</t>
  </si>
  <si>
    <t xml:space="preserve">BOM-021</t>
  </si>
  <si>
    <t xml:space="preserve">BOM-022</t>
  </si>
  <si>
    <t xml:space="preserve">BOM-023</t>
  </si>
  <si>
    <t xml:space="preserve">BOM-024</t>
  </si>
  <si>
    <t xml:space="preserve">BOM-025</t>
  </si>
  <si>
    <t xml:space="preserve">BOM-026</t>
  </si>
  <si>
    <t xml:space="preserve">BOM-027</t>
  </si>
  <si>
    <t xml:space="preserve">BOM-028</t>
  </si>
  <si>
    <t xml:space="preserve">BOM-029</t>
  </si>
  <si>
    <t xml:space="preserve">BOM-030</t>
  </si>
  <si>
    <t xml:space="preserve">BOM-031</t>
  </si>
  <si>
    <t xml:space="preserve">BOM-032</t>
  </si>
  <si>
    <t xml:space="preserve">BOM-033</t>
  </si>
  <si>
    <t xml:space="preserve">BOM-034</t>
  </si>
  <si>
    <t xml:space="preserve">BOM-035</t>
  </si>
  <si>
    <t xml:space="preserve">BOM-036</t>
  </si>
  <si>
    <t xml:space="preserve">BOM-037</t>
  </si>
  <si>
    <t xml:space="preserve">BOM-038</t>
  </si>
  <si>
    <t xml:space="preserve">BOM-039</t>
  </si>
  <si>
    <t xml:space="preserve">BOM-040</t>
  </si>
  <si>
    <t xml:space="preserve">BOM-041</t>
  </si>
  <si>
    <t xml:space="preserve">BOM-042</t>
  </si>
  <si>
    <t xml:space="preserve">BOM-043</t>
  </si>
  <si>
    <t xml:space="preserve">BOM-044</t>
  </si>
  <si>
    <t xml:space="preserve">BOM-045</t>
  </si>
  <si>
    <t xml:space="preserve">BOM-046</t>
  </si>
  <si>
    <t xml:space="preserve">BOM-047</t>
  </si>
  <si>
    <t xml:space="preserve">BOM-048</t>
  </si>
  <si>
    <t xml:space="preserve">BOM-049</t>
  </si>
  <si>
    <t xml:space="preserve">BOM-050</t>
  </si>
  <si>
    <t xml:space="preserve">BOM-051</t>
  </si>
  <si>
    <t xml:space="preserve">BOM-052</t>
  </si>
  <si>
    <t xml:space="preserve">BOM-053</t>
  </si>
  <si>
    <t xml:space="preserve">BOM-054</t>
  </si>
  <si>
    <t xml:space="preserve">BOM-055</t>
  </si>
  <si>
    <t xml:space="preserve">BOM-056</t>
  </si>
  <si>
    <t xml:space="preserve">BOM-057</t>
  </si>
  <si>
    <t xml:space="preserve">BOM-058</t>
  </si>
  <si>
    <t xml:space="preserve">BOM-059</t>
  </si>
  <si>
    <t xml:space="preserve">BOM-060</t>
  </si>
  <si>
    <t xml:space="preserve">BOM-061</t>
  </si>
  <si>
    <t xml:space="preserve">P-19999</t>
  </si>
  <si>
    <t xml:space="preserve">legacy component</t>
  </si>
  <si>
    <t xml:space="preserve">DocID</t>
  </si>
  <si>
    <t xml:space="preserve">DocType</t>
  </si>
  <si>
    <t xml:space="preserve">Title</t>
  </si>
  <si>
    <t xml:space="preserve">Module</t>
  </si>
  <si>
    <t xml:space="preserve">ErrorCode</t>
  </si>
  <si>
    <t xml:space="preserve">Summary</t>
  </si>
  <si>
    <t xml:space="preserve">LastUpdated</t>
  </si>
  <si>
    <t xml:space="preserve">OwnerTeam</t>
  </si>
  <si>
    <t xml:space="preserve">KB-001</t>
  </si>
  <si>
    <t xml:space="preserve">Policy</t>
  </si>
  <si>
    <t xml:space="preserve">Warranty Claim Eligibility Policy</t>
  </si>
  <si>
    <t xml:space="preserve">Claims</t>
  </si>
  <si>
    <t xml:space="preserve">Defines warranty window rules; a claim is valid only within the part's WarrantyMonths from PurchaseDate.</t>
  </si>
  <si>
    <t xml:space="preserve">After-Sales Ops</t>
  </si>
  <si>
    <t xml:space="preserve">KB-002</t>
  </si>
  <si>
    <t xml:space="preserve">SOP</t>
  </si>
  <si>
    <t xml:space="preserve">How to File a Warranty Claim</t>
  </si>
  <si>
    <t xml:space="preserve">Step-by-step: select PO, choose part, enter reason, attach evidence, submit for review.</t>
  </si>
  <si>
    <t xml:space="preserve">KB-003</t>
  </si>
  <si>
    <t xml:space="preserve">Creating a Purchase Order</t>
  </si>
  <si>
    <t xml:space="preserve">PurchaseOrders</t>
  </si>
  <si>
    <t xml:space="preserve">Steps to raise a PO: select dealer, add part lines, confirm price and delivery date.</t>
  </si>
  <si>
    <t xml:space="preserve">2026-05-20</t>
  </si>
  <si>
    <t xml:space="preserve">Procurement</t>
  </si>
  <si>
    <t xml:space="preserve">KB-004</t>
  </si>
  <si>
    <t xml:space="preserve">Return Merchandise Authorization (RMA)</t>
  </si>
  <si>
    <t xml:space="preserve">Returns must reference an existing PO; return qty cannot exceed ordered qty.</t>
  </si>
  <si>
    <t xml:space="preserve">KB-005</t>
  </si>
  <si>
    <t xml:space="preserve">FAQ</t>
  </si>
  <si>
    <t xml:space="preserve">Where is my shipment?</t>
  </si>
  <si>
    <t xml:space="preserve">Shipments</t>
  </si>
  <si>
    <t xml:space="preserve">How to read tracking status: In Transit, Delayed, Delivered, Lost, Returned.</t>
  </si>
  <si>
    <t xml:space="preserve">Logistics</t>
  </si>
  <si>
    <t xml:space="preserve">KB-006</t>
  </si>
  <si>
    <t xml:space="preserve">ERR-PO-014 Credit limit exceeded</t>
  </si>
  <si>
    <t xml:space="preserve">ERR-PO-014</t>
  </si>
  <si>
    <t xml:space="preserve">Raised when a dealer PO value exceeds remaining credit limit.</t>
  </si>
  <si>
    <t xml:space="preserve">KB-007</t>
  </si>
  <si>
    <t xml:space="preserve">ERR-INV-002 Negative available stock</t>
  </si>
  <si>
    <t xml:space="preserve">Inventory</t>
  </si>
  <si>
    <t xml:space="preserve">ERR-INV-002</t>
  </si>
  <si>
    <t xml:space="preserve">Available stock below zero; reserved exceeds on-hand. Escalate to inventory control.</t>
  </si>
  <si>
    <t xml:space="preserve">Inventory Control</t>
  </si>
  <si>
    <t xml:space="preserve">KB-008</t>
  </si>
  <si>
    <t xml:space="preserve">ERR-SHP-021 Lost in transit</t>
  </si>
  <si>
    <t xml:space="preserve">ERR-SHP-021</t>
  </si>
  <si>
    <t xml:space="preserve">Carrier reports shipment lost; open a claim and reship.</t>
  </si>
  <si>
    <t xml:space="preserve">KB-009</t>
  </si>
  <si>
    <t xml:space="preserve">Suspended Dealer Handling</t>
  </si>
  <si>
    <t xml:space="preserve">Dealers</t>
  </si>
  <si>
    <t xml:space="preserve">Suspended dealers cannot place new orders; open POs require compliance review.</t>
  </si>
  <si>
    <t xml:space="preserve">Compliance</t>
  </si>
  <si>
    <t xml:space="preserve">KB-010</t>
  </si>
  <si>
    <t xml:space="preserve">Discontinued Parts</t>
  </si>
  <si>
    <t xml:space="preserve">Parts</t>
  </si>
  <si>
    <t xml:space="preserve">Discontinued parts must not be ordered; suggest superseding part.</t>
  </si>
  <si>
    <t xml:space="preserve">Product Data</t>
  </si>
  <si>
    <t xml:space="preserve">KB-011</t>
  </si>
  <si>
    <t xml:space="preserve">Price Variance Handling</t>
  </si>
  <si>
    <t xml:space="preserve">PO unit price should match master list price within 5% tolerance; else route to review.</t>
  </si>
  <si>
    <t xml:space="preserve">KB-012</t>
  </si>
  <si>
    <t xml:space="preserve">Difference between Warranty, Return and Goodwill</t>
  </si>
  <si>
    <t xml:space="preserve">Explains the three claim types and eligibility.</t>
  </si>
  <si>
    <t xml:space="preserve">KB-013</t>
  </si>
  <si>
    <t xml:space="preserve">ERR-CLM-031 Out-of-warranty</t>
  </si>
  <si>
    <t xml:space="preserve">ERR-CLM-031</t>
  </si>
  <si>
    <t xml:space="preserve">Claim date is beyond warranty window; requires goodwill approval.</t>
  </si>
  <si>
    <t xml:space="preserve">2026-06-22</t>
  </si>
  <si>
    <t xml:space="preserve">KB-014</t>
  </si>
  <si>
    <t xml:space="preserve">Backorder &amp; Reorder Process</t>
  </si>
  <si>
    <t xml:space="preserve">When demand exceeds available stock, create backorder and trigger reorder at ReorderPoint.</t>
  </si>
  <si>
    <t xml:space="preserve">KB-015</t>
  </si>
  <si>
    <t xml:space="preserve">How to check order status across systems</t>
  </si>
  <si>
    <t xml:space="preserve">Explains PO vs shipment status and where they can diverge.</t>
  </si>
  <si>
    <t xml:space="preserve">KB-016</t>
  </si>
  <si>
    <t xml:space="preserve">Duplicate PO Detection</t>
  </si>
  <si>
    <t xml:space="preserve">Guidance for identifying duplicate POs by dealer, part, date and qty.</t>
  </si>
  <si>
    <t xml:space="preserve">KB-017</t>
  </si>
  <si>
    <t xml:space="preserve">Hazmat Parts Shipping</t>
  </si>
  <si>
    <t xml:space="preserve">Hazmat-flagged parts require special carriers and documentation.</t>
  </si>
  <si>
    <t xml:space="preserve">KB-018</t>
  </si>
  <si>
    <t xml:space="preserve">ERR-SHP-009 Delivery/ship date mismatch</t>
  </si>
  <si>
    <t xml:space="preserve">ERR-SHP-009</t>
  </si>
  <si>
    <t xml:space="preserve">Delivery date earlier than ship date indicates a data-entry error.</t>
  </si>
  <si>
    <t xml:space="preserve">KB-019</t>
  </si>
  <si>
    <t xml:space="preserve">Claim rejection reasons</t>
  </si>
  <si>
    <t xml:space="preserve">Common reasons a claim is rejected and next steps.</t>
  </si>
  <si>
    <t xml:space="preserve">2026-06-27</t>
  </si>
  <si>
    <t xml:space="preserve">KB-020</t>
  </si>
  <si>
    <t xml:space="preserve">BOM Lookup</t>
  </si>
  <si>
    <t xml:space="preserve">How to expand an assembly into its components using the BOM.</t>
  </si>
  <si>
    <t xml:space="preserve">KB-021</t>
  </si>
  <si>
    <t xml:space="preserve">Data Quality &amp; Orphan Records</t>
  </si>
  <si>
    <t xml:space="preserve">All</t>
  </si>
  <si>
    <t xml:space="preserve">Orphan references (unknown dealer/PO/part) must be flagged and corrected.</t>
  </si>
  <si>
    <t xml:space="preserve">Data Governance</t>
  </si>
  <si>
    <t xml:space="preserve">KB-022</t>
  </si>
  <si>
    <t xml:space="preserve">Contacting support</t>
  </si>
  <si>
    <t xml:space="preserve">When and how to escalate to the support desk.</t>
  </si>
  <si>
    <t xml:space="preserve">Service Desk</t>
  </si>
  <si>
    <t xml:space="preserve">KB-023</t>
  </si>
  <si>
    <t xml:space="preserve">Goodwill Approval Workflow</t>
  </si>
  <si>
    <t xml:space="preserve">Approval path for out-of-warranty goodwill claims.</t>
  </si>
  <si>
    <t xml:space="preserve">KB-024</t>
  </si>
  <si>
    <t xml:space="preserve">ERR-PO-041 Unknown dealer</t>
  </si>
  <si>
    <t xml:space="preserve">ERR-PO-041</t>
  </si>
  <si>
    <t xml:space="preserve">PO references a dealer not in master data.</t>
  </si>
  <si>
    <t xml:space="preserve">KB-025</t>
  </si>
  <si>
    <t xml:space="preserve">Reading this dataset</t>
  </si>
  <si>
    <t xml:space="preserve">Overview of sheets and how they join for cross-system questions.</t>
  </si>
  <si>
    <t xml:space="preserve">ScenarioID</t>
  </si>
  <si>
    <t xml:space="preserve">ScenarioName</t>
  </si>
  <si>
    <t xml:space="preserve">Location (Sheet + Keys)</t>
  </si>
  <si>
    <t xml:space="preserve">CrossSystem</t>
  </si>
  <si>
    <t xml:space="preserve">HowToDetect</t>
  </si>
  <si>
    <t xml:space="preserve">Difficulty</t>
  </si>
  <si>
    <t xml:space="preserve">SC-04</t>
  </si>
  <si>
    <t xml:space="preserve">Delivered shipment vs open PO</t>
  </si>
  <si>
    <t xml:space="preserve">Status mismatch</t>
  </si>
  <si>
    <t xml:space="preserve">PurchaseOrders PO-2026-1002 + Shipments SHP-5038</t>
  </si>
  <si>
    <t xml:space="preserve">Yes</t>
  </si>
  <si>
    <t xml:space="preserve">PO status is Open/Confirmed while its linked shipment is Delivered.</t>
  </si>
  <si>
    <t xml:space="preserve">Medium</t>
  </si>
  <si>
    <t xml:space="preserve">SC-14</t>
  </si>
  <si>
    <t xml:space="preserve">Open order for suspended dealer</t>
  </si>
  <si>
    <t xml:space="preserve">Governance/cross-ref</t>
  </si>
  <si>
    <t xml:space="preserve">PurchaseOrders PO-2026-1106 + Dealers D007</t>
  </si>
  <si>
    <t xml:space="preserve">PO is Open for a dealer whose master status is Suspended.</t>
  </si>
  <si>
    <t xml:space="preserve">SC-15</t>
  </si>
  <si>
    <t xml:space="preserve">Order placed for discontinued part</t>
  </si>
  <si>
    <t xml:space="preserve">PurchaseOrders PO-2026-1107 + Parts P-10007</t>
  </si>
  <si>
    <t xml:space="preserve">Recent PO references a part whose master Status is Discontinued.</t>
  </si>
  <si>
    <t xml:space="preserve">Easy</t>
  </si>
  <si>
    <t xml:space="preserve">SC-09</t>
  </si>
  <si>
    <t xml:space="preserve">PO price deviates from master list price</t>
  </si>
  <si>
    <t xml:space="preserve">Price mismatch</t>
  </si>
  <si>
    <t xml:space="preserve">PurchaseOrders PO-2026-1008 line 1 + Parts P-10019</t>
  </si>
  <si>
    <t xml:space="preserve">PO UnitPriceEUR differs from Parts.UnitPriceEUR beyond tolerance (&gt;5%).</t>
  </si>
  <si>
    <t xml:space="preserve">SC-10</t>
  </si>
  <si>
    <t xml:space="preserve">Duplicate purchase order</t>
  </si>
  <si>
    <t xml:space="preserve">Duplicate</t>
  </si>
  <si>
    <t xml:space="preserve">PurchaseOrders PO-2026-1017 &amp; PO-2026-1108</t>
  </si>
  <si>
    <t xml:space="preserve">No</t>
  </si>
  <si>
    <t xml:space="preserve">Two POs with identical Dealer+Part+OrderDate+Qty under different PO_No.</t>
  </si>
  <si>
    <t xml:space="preserve">SC-02</t>
  </si>
  <si>
    <t xml:space="preserve">Orphan PO — unknown dealer</t>
  </si>
  <si>
    <t xml:space="preserve">Orphan / dangling reference</t>
  </si>
  <si>
    <t xml:space="preserve">PurchaseOrders PO-2026-1109 (DealerID D999)</t>
  </si>
  <si>
    <t xml:space="preserve">PO DealerID has no matching record in Dealers.</t>
  </si>
  <si>
    <t xml:space="preserve">SC-16</t>
  </si>
  <si>
    <t xml:space="preserve">Lost shipment without a claim</t>
  </si>
  <si>
    <t xml:space="preserve">Absence / cross-ref</t>
  </si>
  <si>
    <t xml:space="preserve">Shipments SHP-5001 (PO PO-2026-1005)</t>
  </si>
  <si>
    <t xml:space="preserve">Shipment status is Lost but no Claim exists for that PO/part.</t>
  </si>
  <si>
    <t xml:space="preserve">Hard</t>
  </si>
  <si>
    <t xml:space="preserve">SC-13</t>
  </si>
  <si>
    <t xml:space="preserve">Delivery date precedes ship date</t>
  </si>
  <si>
    <t xml:space="preserve">Date anomaly</t>
  </si>
  <si>
    <t xml:space="preserve">Shipments SHP-5004</t>
  </si>
  <si>
    <t xml:space="preserve">ActualDeliveryDate is earlier than ShipDate.</t>
  </si>
  <si>
    <t xml:space="preserve">SC-07</t>
  </si>
  <si>
    <t xml:space="preserve">Negative available stock</t>
  </si>
  <si>
    <t xml:space="preserve">Data integrity</t>
  </si>
  <si>
    <t xml:space="preserve">Inventory INV-0006 (P-10006)</t>
  </si>
  <si>
    <t xml:space="preserve">ReservedQty exceeds OnHandQty → AvailableQty is negative.</t>
  </si>
  <si>
    <t xml:space="preserve">SC-08</t>
  </si>
  <si>
    <t xml:space="preserve">Backorder risk — demand exceeds stock</t>
  </si>
  <si>
    <t xml:space="preserve">Cross-system inventory</t>
  </si>
  <si>
    <t xml:space="preserve">PurchaseOrders PO-2026-1026 line 1 + Inventory P-10036</t>
  </si>
  <si>
    <t xml:space="preserve">Open PO OrderQty exceeds total AvailableQty for that part across warehouses.</t>
  </si>
  <si>
    <t xml:space="preserve">SC-03</t>
  </si>
  <si>
    <t xml:space="preserve">Orphan BOM component</t>
  </si>
  <si>
    <t xml:space="preserve">BOM BOM-061 (ComponentPartNo P-19999)</t>
  </si>
  <si>
    <t xml:space="preserve">BOM references a ComponentPartNo absent from Parts master.</t>
  </si>
  <si>
    <t xml:space="preserve">SC-06</t>
  </si>
  <si>
    <t xml:space="preserve">Out-of-warranty warranty claim</t>
  </si>
  <si>
    <t xml:space="preserve">Policy / temporal</t>
  </si>
  <si>
    <t xml:space="preserve">Claims CLM-4032 + Parts P-10038</t>
  </si>
  <si>
    <t xml:space="preserve">ClaimDate minus PurchaseDate exceeds the part's WarrantyMonths window.</t>
  </si>
  <si>
    <t xml:space="preserve">SC-05</t>
  </si>
  <si>
    <t xml:space="preserve">'Not received' claim on a delivered shipment</t>
  </si>
  <si>
    <t xml:space="preserve">Claims CLM-4033 + Shipments SHP-5007 (PO PO-2026-1024)</t>
  </si>
  <si>
    <t xml:space="preserve">Claim reason is 'Not Received' although shipment ActualDeliveryDate is populated.</t>
  </si>
  <si>
    <t xml:space="preserve">SC-01</t>
  </si>
  <si>
    <t xml:space="preserve">Orphan claim — unknown PO</t>
  </si>
  <si>
    <t xml:space="preserve">Claims CLM-4034 (PO_No PO-2026-0777)</t>
  </si>
  <si>
    <t xml:space="preserve">Claim references a PO_No that does not exist in PurchaseOrders.</t>
  </si>
  <si>
    <t xml:space="preserve">SC-11</t>
  </si>
  <si>
    <t xml:space="preserve">Return quantity exceeds ordered quantity</t>
  </si>
  <si>
    <t xml:space="preserve">Data integrity / cross-ref</t>
  </si>
  <si>
    <t xml:space="preserve">Claims CLM-4035 + PurchaseOrders PO-2026-1013</t>
  </si>
  <si>
    <t xml:space="preserve">Claim ClaimQty is greater than the original PO OrderQty.</t>
  </si>
  <si>
    <t xml:space="preserve">SC-17</t>
  </si>
  <si>
    <t xml:space="preserve">Claim for a part the dealer never ordered</t>
  </si>
  <si>
    <t xml:space="preserve">Cross-ref / fraud signal</t>
  </si>
  <si>
    <t xml:space="preserve">Claims CLM-4036 (Dealer D010, Part P-10001)</t>
  </si>
  <si>
    <t xml:space="preserve">No PurchaseOrders line links this dealer to the claimed part.</t>
  </si>
  <si>
    <t xml:space="preserve">SC-12</t>
  </si>
  <si>
    <t xml:space="preserve">SOP gap — undocumented rejection code</t>
  </si>
  <si>
    <t xml:space="preserve">Knowledge gap</t>
  </si>
  <si>
    <t xml:space="preserve">Claims CLM-4037 (ResolutionCode RC-DENY-ERR-CLM-090)</t>
  </si>
  <si>
    <t xml:space="preserve">Resolution/error code has no matching document in Knowledge sheet.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</si>
</sst>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CE4A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A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1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34"/>
    <col collapsed="false" customWidth="true" hidden="false" outlineLevel="0" max="9" min="9" style="0" width="16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</row>
    <row r="2" customFormat="false" ht="15" hidden="false" customHeight="false" outlineLevel="0" collapsed="false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5" t="n">
        <v>100000</v>
      </c>
      <c r="J2" s="5" t="s">
        <v>41</v>
      </c>
    </row>
    <row r="3" customFormat="false" ht="15" hidden="false" customHeight="false" outlineLevel="0" collapsed="false">
      <c r="A3" s="5" t="s">
        <v>42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39</v>
      </c>
      <c r="H3" s="5" t="s">
        <v>48</v>
      </c>
      <c r="I3" s="5" t="n">
        <v>50000</v>
      </c>
      <c r="J3" s="5" t="s">
        <v>49</v>
      </c>
    </row>
    <row r="4" customFormat="false" ht="15" hidden="false" customHeight="false" outlineLevel="0" collapsed="false">
      <c r="A4" s="5" t="s">
        <v>50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51</v>
      </c>
      <c r="G4" s="5" t="s">
        <v>39</v>
      </c>
      <c r="H4" s="5" t="s">
        <v>52</v>
      </c>
      <c r="I4" s="5" t="n">
        <v>250000</v>
      </c>
      <c r="J4" s="5" t="s">
        <v>53</v>
      </c>
    </row>
    <row r="5" customFormat="false" ht="15" hidden="false" customHeight="false" outlineLevel="0" collapsed="false">
      <c r="A5" s="5" t="s">
        <v>54</v>
      </c>
      <c r="B5" s="5" t="s">
        <v>55</v>
      </c>
      <c r="C5" s="5" t="s">
        <v>44</v>
      </c>
      <c r="D5" s="5" t="s">
        <v>56</v>
      </c>
      <c r="E5" s="5" t="s">
        <v>57</v>
      </c>
      <c r="F5" s="5" t="s">
        <v>38</v>
      </c>
      <c r="G5" s="5" t="s">
        <v>39</v>
      </c>
      <c r="H5" s="5" t="s">
        <v>58</v>
      </c>
      <c r="I5" s="5" t="n">
        <v>75000</v>
      </c>
      <c r="J5" s="5" t="s">
        <v>59</v>
      </c>
    </row>
    <row r="6" customFormat="false" ht="15" hidden="false" customHeight="false" outlineLevel="0" collapsed="false">
      <c r="A6" s="5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51</v>
      </c>
      <c r="G6" s="5" t="s">
        <v>39</v>
      </c>
      <c r="H6" s="5" t="s">
        <v>65</v>
      </c>
      <c r="I6" s="5" t="n">
        <v>250000</v>
      </c>
      <c r="J6" s="5" t="s">
        <v>66</v>
      </c>
    </row>
    <row r="7" customFormat="false" ht="15" hidden="false" customHeight="false" outlineLevel="0" collapsed="false">
      <c r="A7" s="5" t="s">
        <v>67</v>
      </c>
      <c r="B7" s="5" t="s">
        <v>68</v>
      </c>
      <c r="C7" s="5" t="s">
        <v>35</v>
      </c>
      <c r="D7" s="5" t="s">
        <v>36</v>
      </c>
      <c r="E7" s="5" t="s">
        <v>37</v>
      </c>
      <c r="F7" s="5" t="s">
        <v>51</v>
      </c>
      <c r="G7" s="5" t="s">
        <v>39</v>
      </c>
      <c r="H7" s="5" t="s">
        <v>69</v>
      </c>
      <c r="I7" s="5" t="n">
        <v>75000</v>
      </c>
      <c r="J7" s="5" t="s">
        <v>70</v>
      </c>
    </row>
    <row r="8" customFormat="false" ht="15" hidden="false" customHeight="false" outlineLevel="0" collapsed="false">
      <c r="A8" s="6" t="s">
        <v>71</v>
      </c>
      <c r="B8" s="6" t="s">
        <v>61</v>
      </c>
      <c r="C8" s="6" t="s">
        <v>62</v>
      </c>
      <c r="D8" s="6" t="s">
        <v>63</v>
      </c>
      <c r="E8" s="6" t="s">
        <v>64</v>
      </c>
      <c r="F8" s="6" t="s">
        <v>47</v>
      </c>
      <c r="G8" s="6" t="s">
        <v>72</v>
      </c>
      <c r="H8" s="6" t="s">
        <v>73</v>
      </c>
      <c r="I8" s="6" t="n">
        <v>75000</v>
      </c>
      <c r="J8" s="6" t="s">
        <v>74</v>
      </c>
    </row>
    <row r="9" customFormat="false" ht="15" hidden="false" customHeight="false" outlineLevel="0" collapsed="false">
      <c r="A9" s="5" t="s">
        <v>75</v>
      </c>
      <c r="B9" s="5" t="s">
        <v>76</v>
      </c>
      <c r="C9" s="5" t="s">
        <v>62</v>
      </c>
      <c r="D9" s="5" t="s">
        <v>63</v>
      </c>
      <c r="E9" s="5" t="s">
        <v>77</v>
      </c>
      <c r="F9" s="5" t="s">
        <v>47</v>
      </c>
      <c r="G9" s="5" t="s">
        <v>39</v>
      </c>
      <c r="H9" s="5" t="s">
        <v>78</v>
      </c>
      <c r="I9" s="5" t="n">
        <v>75000</v>
      </c>
      <c r="J9" s="5" t="s">
        <v>79</v>
      </c>
    </row>
    <row r="10" customFormat="false" ht="15" hidden="false" customHeight="false" outlineLevel="0" collapsed="false">
      <c r="A10" s="5" t="s">
        <v>80</v>
      </c>
      <c r="B10" s="5" t="s">
        <v>81</v>
      </c>
      <c r="C10" s="5" t="s">
        <v>35</v>
      </c>
      <c r="D10" s="5" t="s">
        <v>36</v>
      </c>
      <c r="E10" s="5" t="s">
        <v>82</v>
      </c>
      <c r="F10" s="5" t="s">
        <v>47</v>
      </c>
      <c r="G10" s="5" t="s">
        <v>39</v>
      </c>
      <c r="H10" s="5" t="s">
        <v>83</v>
      </c>
      <c r="I10" s="5" t="n">
        <v>50000</v>
      </c>
      <c r="J10" s="5" t="s">
        <v>84</v>
      </c>
    </row>
    <row r="11" customFormat="false" ht="15" hidden="false" customHeight="false" outlineLevel="0" collapsed="false">
      <c r="A11" s="5" t="s">
        <v>85</v>
      </c>
      <c r="B11" s="5" t="s">
        <v>86</v>
      </c>
      <c r="C11" s="5" t="s">
        <v>44</v>
      </c>
      <c r="D11" s="5" t="s">
        <v>56</v>
      </c>
      <c r="E11" s="5" t="s">
        <v>57</v>
      </c>
      <c r="F11" s="5" t="s">
        <v>47</v>
      </c>
      <c r="G11" s="5" t="s">
        <v>39</v>
      </c>
      <c r="H11" s="5" t="s">
        <v>87</v>
      </c>
      <c r="I11" s="5" t="n">
        <v>250000</v>
      </c>
      <c r="J11" s="5" t="s">
        <v>88</v>
      </c>
    </row>
    <row r="12" customFormat="false" ht="15" hidden="false" customHeight="false" outlineLevel="0" collapsed="false">
      <c r="A12" s="5" t="s">
        <v>89</v>
      </c>
      <c r="B12" s="5" t="s">
        <v>90</v>
      </c>
      <c r="C12" s="5" t="s">
        <v>35</v>
      </c>
      <c r="D12" s="5" t="s">
        <v>36</v>
      </c>
      <c r="E12" s="5" t="s">
        <v>82</v>
      </c>
      <c r="F12" s="5" t="s">
        <v>38</v>
      </c>
      <c r="G12" s="5" t="s">
        <v>39</v>
      </c>
      <c r="H12" s="5" t="s">
        <v>91</v>
      </c>
      <c r="I12" s="5" t="n">
        <v>150000</v>
      </c>
      <c r="J12" s="5" t="s">
        <v>92</v>
      </c>
    </row>
    <row r="13" customFormat="false" ht="15" hidden="false" customHeight="false" outlineLevel="0" collapsed="false">
      <c r="A13" s="5" t="s">
        <v>93</v>
      </c>
      <c r="B13" s="5" t="s">
        <v>55</v>
      </c>
      <c r="C13" s="5" t="s">
        <v>44</v>
      </c>
      <c r="D13" s="5" t="s">
        <v>56</v>
      </c>
      <c r="E13" s="5" t="s">
        <v>57</v>
      </c>
      <c r="F13" s="5" t="s">
        <v>47</v>
      </c>
      <c r="G13" s="5" t="s">
        <v>39</v>
      </c>
      <c r="H13" s="5" t="s">
        <v>94</v>
      </c>
      <c r="I13" s="5" t="n">
        <v>250000</v>
      </c>
      <c r="J13" s="5" t="s">
        <v>95</v>
      </c>
    </row>
    <row r="14" customFormat="false" ht="15" hidden="false" customHeight="false" outlineLevel="0" collapsed="false">
      <c r="A14" s="5" t="s">
        <v>96</v>
      </c>
      <c r="B14" s="5" t="s">
        <v>97</v>
      </c>
      <c r="C14" s="5" t="s">
        <v>35</v>
      </c>
      <c r="D14" s="5" t="s">
        <v>36</v>
      </c>
      <c r="E14" s="5" t="s">
        <v>82</v>
      </c>
      <c r="F14" s="5" t="s">
        <v>51</v>
      </c>
      <c r="G14" s="5" t="s">
        <v>39</v>
      </c>
      <c r="H14" s="5" t="s">
        <v>98</v>
      </c>
      <c r="I14" s="5" t="n">
        <v>250000</v>
      </c>
      <c r="J14" s="5" t="s">
        <v>99</v>
      </c>
    </row>
    <row r="15" customFormat="false" ht="15" hidden="false" customHeight="false" outlineLevel="0" collapsed="false">
      <c r="A15" s="5" t="s">
        <v>100</v>
      </c>
      <c r="B15" s="5" t="s">
        <v>34</v>
      </c>
      <c r="C15" s="5" t="s">
        <v>35</v>
      </c>
      <c r="D15" s="5" t="s">
        <v>36</v>
      </c>
      <c r="E15" s="5" t="s">
        <v>37</v>
      </c>
      <c r="F15" s="5" t="s">
        <v>38</v>
      </c>
      <c r="G15" s="5" t="s">
        <v>39</v>
      </c>
      <c r="H15" s="5" t="s">
        <v>101</v>
      </c>
      <c r="I15" s="5" t="n">
        <v>75000</v>
      </c>
      <c r="J15" s="5" t="s">
        <v>102</v>
      </c>
    </row>
    <row r="16" customFormat="false" ht="15" hidden="false" customHeight="false" outlineLevel="0" collapsed="false">
      <c r="A16" s="5" t="s">
        <v>103</v>
      </c>
      <c r="B16" s="5" t="s">
        <v>104</v>
      </c>
      <c r="C16" s="5" t="s">
        <v>44</v>
      </c>
      <c r="D16" s="5" t="s">
        <v>105</v>
      </c>
      <c r="E16" s="5" t="s">
        <v>106</v>
      </c>
      <c r="F16" s="5" t="s">
        <v>38</v>
      </c>
      <c r="G16" s="5" t="s">
        <v>39</v>
      </c>
      <c r="H16" s="5" t="s">
        <v>107</v>
      </c>
      <c r="I16" s="5" t="n">
        <v>50000</v>
      </c>
      <c r="J16" s="5" t="s">
        <v>84</v>
      </c>
    </row>
    <row r="17" customFormat="false" ht="15" hidden="false" customHeight="false" outlineLevel="0" collapsed="false">
      <c r="A17" s="5" t="s">
        <v>108</v>
      </c>
      <c r="B17" s="5" t="s">
        <v>109</v>
      </c>
      <c r="C17" s="5" t="s">
        <v>44</v>
      </c>
      <c r="D17" s="5" t="s">
        <v>105</v>
      </c>
      <c r="E17" s="5" t="s">
        <v>106</v>
      </c>
      <c r="F17" s="5" t="s">
        <v>47</v>
      </c>
      <c r="G17" s="5" t="s">
        <v>39</v>
      </c>
      <c r="H17" s="5" t="s">
        <v>110</v>
      </c>
      <c r="I17" s="5" t="n">
        <v>100000</v>
      </c>
      <c r="J17" s="5" t="s">
        <v>111</v>
      </c>
    </row>
    <row r="18" customFormat="false" ht="15" hidden="false" customHeight="false" outlineLevel="0" collapsed="false">
      <c r="A18" s="5" t="s">
        <v>112</v>
      </c>
      <c r="B18" s="5" t="s">
        <v>104</v>
      </c>
      <c r="C18" s="5" t="s">
        <v>44</v>
      </c>
      <c r="D18" s="5" t="s">
        <v>105</v>
      </c>
      <c r="E18" s="5" t="s">
        <v>106</v>
      </c>
      <c r="F18" s="5" t="s">
        <v>47</v>
      </c>
      <c r="G18" s="5" t="s">
        <v>39</v>
      </c>
      <c r="H18" s="5" t="s">
        <v>113</v>
      </c>
      <c r="I18" s="5" t="n">
        <v>100000</v>
      </c>
      <c r="J18" s="5" t="s">
        <v>114</v>
      </c>
    </row>
    <row r="19" customFormat="false" ht="15" hidden="false" customHeight="false" outlineLevel="0" collapsed="false">
      <c r="A19" s="5" t="s">
        <v>115</v>
      </c>
      <c r="B19" s="5" t="s">
        <v>116</v>
      </c>
      <c r="C19" s="5" t="s">
        <v>35</v>
      </c>
      <c r="D19" s="5" t="s">
        <v>36</v>
      </c>
      <c r="E19" s="5" t="s">
        <v>37</v>
      </c>
      <c r="F19" s="5" t="s">
        <v>38</v>
      </c>
      <c r="G19" s="5" t="s">
        <v>39</v>
      </c>
      <c r="H19" s="5" t="s">
        <v>117</v>
      </c>
      <c r="I19" s="5" t="n">
        <v>75000</v>
      </c>
      <c r="J19" s="5" t="s">
        <v>118</v>
      </c>
    </row>
    <row r="20" customFormat="false" ht="15" hidden="false" customHeight="false" outlineLevel="0" collapsed="false">
      <c r="A20" s="5" t="s">
        <v>119</v>
      </c>
      <c r="B20" s="5" t="s">
        <v>120</v>
      </c>
      <c r="C20" s="5" t="s">
        <v>35</v>
      </c>
      <c r="D20" s="5" t="s">
        <v>36</v>
      </c>
      <c r="E20" s="5" t="s">
        <v>37</v>
      </c>
      <c r="F20" s="5" t="s">
        <v>47</v>
      </c>
      <c r="G20" s="5" t="s">
        <v>39</v>
      </c>
      <c r="H20" s="5" t="s">
        <v>121</v>
      </c>
      <c r="I20" s="5" t="n">
        <v>150000</v>
      </c>
      <c r="J20" s="5" t="s">
        <v>122</v>
      </c>
    </row>
    <row r="21" customFormat="false" ht="15" hidden="false" customHeight="false" outlineLevel="0" collapsed="false">
      <c r="A21" s="5" t="s">
        <v>123</v>
      </c>
      <c r="B21" s="5" t="s">
        <v>104</v>
      </c>
      <c r="C21" s="5" t="s">
        <v>44</v>
      </c>
      <c r="D21" s="5" t="s">
        <v>105</v>
      </c>
      <c r="E21" s="5" t="s">
        <v>106</v>
      </c>
      <c r="F21" s="5" t="s">
        <v>51</v>
      </c>
      <c r="G21" s="5" t="s">
        <v>39</v>
      </c>
      <c r="H21" s="5" t="s">
        <v>124</v>
      </c>
      <c r="I21" s="5" t="n">
        <v>100000</v>
      </c>
      <c r="J21" s="5" t="s">
        <v>125</v>
      </c>
    </row>
    <row r="22" customFormat="false" ht="15" hidden="false" customHeight="false" outlineLevel="0" collapsed="false">
      <c r="A22" s="5" t="s">
        <v>126</v>
      </c>
      <c r="B22" s="5" t="s">
        <v>127</v>
      </c>
      <c r="C22" s="5" t="s">
        <v>35</v>
      </c>
      <c r="D22" s="5" t="s">
        <v>36</v>
      </c>
      <c r="E22" s="5" t="s">
        <v>82</v>
      </c>
      <c r="F22" s="5" t="s">
        <v>38</v>
      </c>
      <c r="G22" s="5" t="s">
        <v>39</v>
      </c>
      <c r="H22" s="5" t="s">
        <v>128</v>
      </c>
      <c r="I22" s="5" t="n">
        <v>50000</v>
      </c>
      <c r="J22" s="5" t="s">
        <v>129</v>
      </c>
    </row>
    <row r="23" customFormat="false" ht="15" hidden="false" customHeight="false" outlineLevel="0" collapsed="false">
      <c r="A23" s="5" t="s">
        <v>130</v>
      </c>
      <c r="B23" s="5" t="s">
        <v>131</v>
      </c>
      <c r="C23" s="5" t="s">
        <v>44</v>
      </c>
      <c r="D23" s="5" t="s">
        <v>105</v>
      </c>
      <c r="E23" s="5" t="s">
        <v>106</v>
      </c>
      <c r="F23" s="5" t="s">
        <v>47</v>
      </c>
      <c r="G23" s="5" t="s">
        <v>39</v>
      </c>
      <c r="H23" s="5" t="s">
        <v>132</v>
      </c>
      <c r="I23" s="5" t="n">
        <v>50000</v>
      </c>
      <c r="J23" s="5" t="s">
        <v>133</v>
      </c>
    </row>
    <row r="24" customFormat="false" ht="15" hidden="false" customHeight="false" outlineLevel="0" collapsed="false">
      <c r="A24" s="5" t="s">
        <v>134</v>
      </c>
      <c r="B24" s="5" t="s">
        <v>135</v>
      </c>
      <c r="C24" s="5" t="s">
        <v>62</v>
      </c>
      <c r="D24" s="5" t="s">
        <v>63</v>
      </c>
      <c r="E24" s="5" t="s">
        <v>64</v>
      </c>
      <c r="F24" s="5" t="s">
        <v>47</v>
      </c>
      <c r="G24" s="5" t="s">
        <v>39</v>
      </c>
      <c r="H24" s="5" t="s">
        <v>136</v>
      </c>
      <c r="I24" s="5" t="n">
        <v>150000</v>
      </c>
      <c r="J24" s="5" t="s">
        <v>137</v>
      </c>
    </row>
    <row r="25" customFormat="false" ht="15" hidden="false" customHeight="false" outlineLevel="0" collapsed="false">
      <c r="A25" s="5" t="s">
        <v>138</v>
      </c>
      <c r="B25" s="5" t="s">
        <v>120</v>
      </c>
      <c r="C25" s="5" t="s">
        <v>35</v>
      </c>
      <c r="D25" s="5" t="s">
        <v>36</v>
      </c>
      <c r="E25" s="5" t="s">
        <v>37</v>
      </c>
      <c r="F25" s="5" t="s">
        <v>47</v>
      </c>
      <c r="G25" s="5" t="s">
        <v>39</v>
      </c>
      <c r="H25" s="5" t="s">
        <v>139</v>
      </c>
      <c r="I25" s="5" t="n">
        <v>100000</v>
      </c>
      <c r="J25" s="5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12"/>
    <col collapsed="false" customWidth="true" hidden="false" outlineLevel="0" max="11" min="10" style="0" width="14"/>
  </cols>
  <sheetData>
    <row r="1" customFormat="false" ht="15" hidden="false" customHeight="false" outlineLevel="0" collapsed="false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145</v>
      </c>
      <c r="F1" s="4" t="s">
        <v>146</v>
      </c>
      <c r="G1" s="4" t="s">
        <v>147</v>
      </c>
      <c r="H1" s="4" t="s">
        <v>148</v>
      </c>
      <c r="I1" s="4" t="s">
        <v>149</v>
      </c>
      <c r="J1" s="4" t="s">
        <v>29</v>
      </c>
      <c r="K1" s="4" t="s">
        <v>150</v>
      </c>
    </row>
    <row r="2" customFormat="false" ht="15" hidden="false" customHeight="false" outlineLevel="0" collapsed="false">
      <c r="A2" s="5" t="s">
        <v>151</v>
      </c>
      <c r="B2" s="5" t="s">
        <v>152</v>
      </c>
      <c r="C2" s="5" t="s">
        <v>153</v>
      </c>
      <c r="D2" s="5" t="n">
        <v>174.05</v>
      </c>
      <c r="E2" s="5" t="s">
        <v>154</v>
      </c>
      <c r="F2" s="5" t="n">
        <v>48</v>
      </c>
      <c r="G2" s="5" t="s">
        <v>155</v>
      </c>
      <c r="H2" s="5" t="s">
        <v>156</v>
      </c>
      <c r="I2" s="5" t="s">
        <v>157</v>
      </c>
      <c r="J2" s="5" t="s">
        <v>39</v>
      </c>
      <c r="K2" s="5" t="n">
        <v>14</v>
      </c>
    </row>
    <row r="3" customFormat="false" ht="15" hidden="false" customHeight="false" outlineLevel="0" collapsed="false">
      <c r="A3" s="5" t="s">
        <v>158</v>
      </c>
      <c r="B3" s="5" t="s">
        <v>159</v>
      </c>
      <c r="C3" s="5" t="s">
        <v>160</v>
      </c>
      <c r="D3" s="5" t="n">
        <v>638.31</v>
      </c>
      <c r="E3" s="5" t="s">
        <v>154</v>
      </c>
      <c r="F3" s="5" t="n">
        <v>24</v>
      </c>
      <c r="G3" s="5" t="s">
        <v>161</v>
      </c>
      <c r="H3" s="5" t="s">
        <v>162</v>
      </c>
      <c r="I3" s="5" t="s">
        <v>163</v>
      </c>
      <c r="J3" s="5" t="s">
        <v>39</v>
      </c>
      <c r="K3" s="5" t="n">
        <v>3</v>
      </c>
    </row>
    <row r="4" customFormat="false" ht="15" hidden="false" customHeight="false" outlineLevel="0" collapsed="false">
      <c r="A4" s="5" t="s">
        <v>164</v>
      </c>
      <c r="B4" s="5" t="s">
        <v>165</v>
      </c>
      <c r="C4" s="5" t="s">
        <v>166</v>
      </c>
      <c r="D4" s="5" t="n">
        <v>404.55</v>
      </c>
      <c r="E4" s="5" t="s">
        <v>154</v>
      </c>
      <c r="F4" s="5" t="n">
        <v>36</v>
      </c>
      <c r="G4" s="5" t="s">
        <v>161</v>
      </c>
      <c r="H4" s="5" t="s">
        <v>162</v>
      </c>
      <c r="I4" s="5" t="s">
        <v>157</v>
      </c>
      <c r="J4" s="5" t="s">
        <v>39</v>
      </c>
      <c r="K4" s="5" t="n">
        <v>3</v>
      </c>
    </row>
    <row r="5" customFormat="false" ht="15" hidden="false" customHeight="false" outlineLevel="0" collapsed="false">
      <c r="A5" s="5" t="s">
        <v>167</v>
      </c>
      <c r="B5" s="5" t="s">
        <v>168</v>
      </c>
      <c r="C5" s="5" t="s">
        <v>160</v>
      </c>
      <c r="D5" s="5" t="n">
        <v>637.55</v>
      </c>
      <c r="E5" s="5" t="s">
        <v>154</v>
      </c>
      <c r="F5" s="5" t="n">
        <v>48</v>
      </c>
      <c r="G5" s="5" t="s">
        <v>169</v>
      </c>
      <c r="H5" s="5" t="s">
        <v>170</v>
      </c>
      <c r="I5" s="5" t="s">
        <v>157</v>
      </c>
      <c r="J5" s="5" t="s">
        <v>39</v>
      </c>
      <c r="K5" s="5" t="n">
        <v>21</v>
      </c>
    </row>
    <row r="6" customFormat="false" ht="15" hidden="false" customHeight="false" outlineLevel="0" collapsed="false">
      <c r="A6" s="5" t="s">
        <v>171</v>
      </c>
      <c r="B6" s="5" t="s">
        <v>172</v>
      </c>
      <c r="C6" s="5" t="s">
        <v>173</v>
      </c>
      <c r="D6" s="5" t="n">
        <v>176.63</v>
      </c>
      <c r="E6" s="5" t="s">
        <v>154</v>
      </c>
      <c r="F6" s="5" t="n">
        <v>24</v>
      </c>
      <c r="G6" s="5" t="s">
        <v>174</v>
      </c>
      <c r="H6" s="5" t="s">
        <v>175</v>
      </c>
      <c r="I6" s="5" t="s">
        <v>157</v>
      </c>
      <c r="J6" s="5" t="s">
        <v>39</v>
      </c>
      <c r="K6" s="5" t="n">
        <v>7</v>
      </c>
    </row>
    <row r="7" customFormat="false" ht="15" hidden="false" customHeight="false" outlineLevel="0" collapsed="false">
      <c r="A7" s="5" t="s">
        <v>176</v>
      </c>
      <c r="B7" s="5" t="s">
        <v>177</v>
      </c>
      <c r="C7" s="5" t="s">
        <v>160</v>
      </c>
      <c r="D7" s="5" t="n">
        <v>10.05</v>
      </c>
      <c r="E7" s="5" t="s">
        <v>154</v>
      </c>
      <c r="F7" s="5" t="n">
        <v>24</v>
      </c>
      <c r="G7" s="5" t="s">
        <v>161</v>
      </c>
      <c r="H7" s="5" t="s">
        <v>162</v>
      </c>
      <c r="I7" s="5" t="s">
        <v>157</v>
      </c>
      <c r="J7" s="5" t="s">
        <v>39</v>
      </c>
      <c r="K7" s="5" t="n">
        <v>14</v>
      </c>
    </row>
    <row r="8" customFormat="false" ht="15" hidden="false" customHeight="false" outlineLevel="0" collapsed="false">
      <c r="A8" s="6" t="s">
        <v>178</v>
      </c>
      <c r="B8" s="6" t="s">
        <v>179</v>
      </c>
      <c r="C8" s="6" t="s">
        <v>173</v>
      </c>
      <c r="D8" s="6" t="n">
        <v>411.82</v>
      </c>
      <c r="E8" s="6" t="s">
        <v>154</v>
      </c>
      <c r="F8" s="6" t="n">
        <v>48</v>
      </c>
      <c r="G8" s="6" t="s">
        <v>180</v>
      </c>
      <c r="H8" s="6" t="s">
        <v>181</v>
      </c>
      <c r="I8" s="6" t="s">
        <v>157</v>
      </c>
      <c r="J8" s="6" t="s">
        <v>182</v>
      </c>
      <c r="K8" s="6" t="n">
        <v>5</v>
      </c>
    </row>
    <row r="9" customFormat="false" ht="15" hidden="false" customHeight="false" outlineLevel="0" collapsed="false">
      <c r="A9" s="5" t="s">
        <v>183</v>
      </c>
      <c r="B9" s="5" t="s">
        <v>184</v>
      </c>
      <c r="C9" s="5" t="s">
        <v>185</v>
      </c>
      <c r="D9" s="5" t="n">
        <v>610.61</v>
      </c>
      <c r="E9" s="5" t="s">
        <v>154</v>
      </c>
      <c r="F9" s="5" t="n">
        <v>48</v>
      </c>
      <c r="G9" s="5" t="s">
        <v>174</v>
      </c>
      <c r="H9" s="5" t="s">
        <v>175</v>
      </c>
      <c r="I9" s="5" t="s">
        <v>157</v>
      </c>
      <c r="J9" s="5" t="s">
        <v>39</v>
      </c>
      <c r="K9" s="5" t="n">
        <v>14</v>
      </c>
    </row>
    <row r="10" customFormat="false" ht="15" hidden="false" customHeight="false" outlineLevel="0" collapsed="false">
      <c r="A10" s="5" t="s">
        <v>186</v>
      </c>
      <c r="B10" s="5" t="s">
        <v>187</v>
      </c>
      <c r="C10" s="5" t="s">
        <v>185</v>
      </c>
      <c r="D10" s="5" t="n">
        <v>78.7</v>
      </c>
      <c r="E10" s="5" t="s">
        <v>154</v>
      </c>
      <c r="F10" s="5" t="n">
        <v>24</v>
      </c>
      <c r="G10" s="5" t="s">
        <v>169</v>
      </c>
      <c r="H10" s="5" t="s">
        <v>170</v>
      </c>
      <c r="I10" s="5" t="s">
        <v>157</v>
      </c>
      <c r="J10" s="5" t="s">
        <v>39</v>
      </c>
      <c r="K10" s="5" t="n">
        <v>5</v>
      </c>
    </row>
    <row r="11" customFormat="false" ht="15" hidden="false" customHeight="false" outlineLevel="0" collapsed="false">
      <c r="A11" s="5" t="s">
        <v>188</v>
      </c>
      <c r="B11" s="5" t="s">
        <v>189</v>
      </c>
      <c r="C11" s="5" t="s">
        <v>166</v>
      </c>
      <c r="D11" s="5" t="n">
        <v>366.57</v>
      </c>
      <c r="E11" s="5" t="s">
        <v>154</v>
      </c>
      <c r="F11" s="5" t="n">
        <v>12</v>
      </c>
      <c r="G11" s="5" t="s">
        <v>174</v>
      </c>
      <c r="H11" s="5" t="s">
        <v>175</v>
      </c>
      <c r="I11" s="5" t="s">
        <v>157</v>
      </c>
      <c r="J11" s="5" t="s">
        <v>39</v>
      </c>
      <c r="K11" s="5" t="n">
        <v>21</v>
      </c>
    </row>
    <row r="12" customFormat="false" ht="15" hidden="false" customHeight="false" outlineLevel="0" collapsed="false">
      <c r="A12" s="5" t="s">
        <v>190</v>
      </c>
      <c r="B12" s="5" t="s">
        <v>191</v>
      </c>
      <c r="C12" s="5" t="s">
        <v>192</v>
      </c>
      <c r="D12" s="5" t="n">
        <v>344.67</v>
      </c>
      <c r="E12" s="5" t="s">
        <v>154</v>
      </c>
      <c r="F12" s="5" t="n">
        <v>24</v>
      </c>
      <c r="G12" s="5" t="s">
        <v>180</v>
      </c>
      <c r="H12" s="5" t="s">
        <v>181</v>
      </c>
      <c r="I12" s="5" t="s">
        <v>157</v>
      </c>
      <c r="J12" s="5" t="s">
        <v>39</v>
      </c>
      <c r="K12" s="5" t="n">
        <v>21</v>
      </c>
    </row>
    <row r="13" customFormat="false" ht="15" hidden="false" customHeight="false" outlineLevel="0" collapsed="false">
      <c r="A13" s="5" t="s">
        <v>193</v>
      </c>
      <c r="B13" s="5" t="s">
        <v>194</v>
      </c>
      <c r="C13" s="5" t="s">
        <v>192</v>
      </c>
      <c r="D13" s="5" t="n">
        <v>175.52</v>
      </c>
      <c r="E13" s="5" t="s">
        <v>154</v>
      </c>
      <c r="F13" s="5" t="n">
        <v>48</v>
      </c>
      <c r="G13" s="5" t="s">
        <v>155</v>
      </c>
      <c r="H13" s="5" t="s">
        <v>156</v>
      </c>
      <c r="I13" s="5" t="s">
        <v>157</v>
      </c>
      <c r="J13" s="5" t="s">
        <v>39</v>
      </c>
      <c r="K13" s="5" t="n">
        <v>5</v>
      </c>
    </row>
    <row r="14" customFormat="false" ht="15" hidden="false" customHeight="false" outlineLevel="0" collapsed="false">
      <c r="A14" s="5" t="s">
        <v>195</v>
      </c>
      <c r="B14" s="5" t="s">
        <v>196</v>
      </c>
      <c r="C14" s="5" t="s">
        <v>153</v>
      </c>
      <c r="D14" s="5" t="n">
        <v>636.93</v>
      </c>
      <c r="E14" s="5" t="s">
        <v>154</v>
      </c>
      <c r="F14" s="5" t="n">
        <v>24</v>
      </c>
      <c r="G14" s="5" t="s">
        <v>155</v>
      </c>
      <c r="H14" s="5" t="s">
        <v>156</v>
      </c>
      <c r="I14" s="5" t="s">
        <v>157</v>
      </c>
      <c r="J14" s="5" t="s">
        <v>39</v>
      </c>
      <c r="K14" s="5" t="n">
        <v>14</v>
      </c>
    </row>
    <row r="15" customFormat="false" ht="15" hidden="false" customHeight="false" outlineLevel="0" collapsed="false">
      <c r="A15" s="5" t="s">
        <v>197</v>
      </c>
      <c r="B15" s="5" t="s">
        <v>198</v>
      </c>
      <c r="C15" s="5" t="s">
        <v>192</v>
      </c>
      <c r="D15" s="5" t="n">
        <v>150.01</v>
      </c>
      <c r="E15" s="5" t="s">
        <v>154</v>
      </c>
      <c r="F15" s="5" t="n">
        <v>24</v>
      </c>
      <c r="G15" s="5" t="s">
        <v>174</v>
      </c>
      <c r="H15" s="5" t="s">
        <v>175</v>
      </c>
      <c r="I15" s="5" t="s">
        <v>157</v>
      </c>
      <c r="J15" s="5" t="s">
        <v>39</v>
      </c>
      <c r="K15" s="5" t="n">
        <v>14</v>
      </c>
    </row>
    <row r="16" customFormat="false" ht="15" hidden="false" customHeight="false" outlineLevel="0" collapsed="false">
      <c r="A16" s="5" t="s">
        <v>199</v>
      </c>
      <c r="B16" s="5" t="s">
        <v>200</v>
      </c>
      <c r="C16" s="5" t="s">
        <v>153</v>
      </c>
      <c r="D16" s="5" t="n">
        <v>12.54</v>
      </c>
      <c r="E16" s="5" t="s">
        <v>154</v>
      </c>
      <c r="F16" s="5" t="n">
        <v>12</v>
      </c>
      <c r="G16" s="5" t="s">
        <v>180</v>
      </c>
      <c r="H16" s="5" t="s">
        <v>181</v>
      </c>
      <c r="I16" s="5" t="s">
        <v>157</v>
      </c>
      <c r="J16" s="5" t="s">
        <v>39</v>
      </c>
      <c r="K16" s="5" t="n">
        <v>3</v>
      </c>
    </row>
    <row r="17" customFormat="false" ht="15" hidden="false" customHeight="false" outlineLevel="0" collapsed="false">
      <c r="A17" s="5" t="s">
        <v>201</v>
      </c>
      <c r="B17" s="5" t="s">
        <v>202</v>
      </c>
      <c r="C17" s="5" t="s">
        <v>166</v>
      </c>
      <c r="D17" s="5" t="n">
        <v>332.95</v>
      </c>
      <c r="E17" s="5" t="s">
        <v>154</v>
      </c>
      <c r="F17" s="5" t="n">
        <v>24</v>
      </c>
      <c r="G17" s="5" t="s">
        <v>203</v>
      </c>
      <c r="H17" s="5" t="s">
        <v>204</v>
      </c>
      <c r="I17" s="5" t="s">
        <v>157</v>
      </c>
      <c r="J17" s="5" t="s">
        <v>39</v>
      </c>
      <c r="K17" s="5" t="n">
        <v>10</v>
      </c>
    </row>
    <row r="18" customFormat="false" ht="15" hidden="false" customHeight="false" outlineLevel="0" collapsed="false">
      <c r="A18" s="5" t="s">
        <v>205</v>
      </c>
      <c r="B18" s="5" t="s">
        <v>206</v>
      </c>
      <c r="C18" s="5" t="s">
        <v>153</v>
      </c>
      <c r="D18" s="5" t="n">
        <v>465.16</v>
      </c>
      <c r="E18" s="5" t="s">
        <v>154</v>
      </c>
      <c r="F18" s="5" t="n">
        <v>48</v>
      </c>
      <c r="G18" s="5" t="s">
        <v>161</v>
      </c>
      <c r="H18" s="5" t="s">
        <v>162</v>
      </c>
      <c r="I18" s="5" t="s">
        <v>157</v>
      </c>
      <c r="J18" s="5" t="s">
        <v>39</v>
      </c>
      <c r="K18" s="5" t="n">
        <v>10</v>
      </c>
    </row>
    <row r="19" customFormat="false" ht="15" hidden="false" customHeight="false" outlineLevel="0" collapsed="false">
      <c r="A19" s="5" t="s">
        <v>207</v>
      </c>
      <c r="B19" s="5" t="s">
        <v>208</v>
      </c>
      <c r="C19" s="5" t="s">
        <v>153</v>
      </c>
      <c r="D19" s="5" t="n">
        <v>265.26</v>
      </c>
      <c r="E19" s="5" t="s">
        <v>154</v>
      </c>
      <c r="F19" s="5" t="n">
        <v>12</v>
      </c>
      <c r="G19" s="5" t="s">
        <v>174</v>
      </c>
      <c r="H19" s="5" t="s">
        <v>175</v>
      </c>
      <c r="I19" s="5" t="s">
        <v>157</v>
      </c>
      <c r="J19" s="5" t="s">
        <v>39</v>
      </c>
      <c r="K19" s="5" t="n">
        <v>21</v>
      </c>
    </row>
    <row r="20" customFormat="false" ht="15" hidden="false" customHeight="false" outlineLevel="0" collapsed="false">
      <c r="A20" s="5" t="s">
        <v>209</v>
      </c>
      <c r="B20" s="5" t="s">
        <v>210</v>
      </c>
      <c r="C20" s="5" t="s">
        <v>160</v>
      </c>
      <c r="D20" s="5" t="n">
        <v>267.82</v>
      </c>
      <c r="E20" s="5" t="s">
        <v>154</v>
      </c>
      <c r="F20" s="5" t="n">
        <v>12</v>
      </c>
      <c r="G20" s="5" t="s">
        <v>203</v>
      </c>
      <c r="H20" s="5" t="s">
        <v>204</v>
      </c>
      <c r="I20" s="5" t="s">
        <v>157</v>
      </c>
      <c r="J20" s="5" t="s">
        <v>39</v>
      </c>
      <c r="K20" s="5" t="n">
        <v>3</v>
      </c>
    </row>
    <row r="21" customFormat="false" ht="15" hidden="false" customHeight="false" outlineLevel="0" collapsed="false">
      <c r="A21" s="5" t="s">
        <v>211</v>
      </c>
      <c r="B21" s="5" t="s">
        <v>212</v>
      </c>
      <c r="C21" s="5" t="s">
        <v>160</v>
      </c>
      <c r="D21" s="5" t="n">
        <v>552.58</v>
      </c>
      <c r="E21" s="5" t="s">
        <v>154</v>
      </c>
      <c r="F21" s="5" t="n">
        <v>24</v>
      </c>
      <c r="G21" s="5" t="s">
        <v>180</v>
      </c>
      <c r="H21" s="5" t="s">
        <v>181</v>
      </c>
      <c r="I21" s="5" t="s">
        <v>157</v>
      </c>
      <c r="J21" s="5" t="s">
        <v>39</v>
      </c>
      <c r="K21" s="5" t="n">
        <v>14</v>
      </c>
    </row>
    <row r="22" customFormat="false" ht="15" hidden="false" customHeight="false" outlineLevel="0" collapsed="false">
      <c r="A22" s="5" t="s">
        <v>213</v>
      </c>
      <c r="B22" s="5" t="s">
        <v>214</v>
      </c>
      <c r="C22" s="5" t="s">
        <v>192</v>
      </c>
      <c r="D22" s="5" t="n">
        <v>123.96</v>
      </c>
      <c r="E22" s="5" t="s">
        <v>154</v>
      </c>
      <c r="F22" s="5" t="n">
        <v>36</v>
      </c>
      <c r="G22" s="5" t="s">
        <v>180</v>
      </c>
      <c r="H22" s="5" t="s">
        <v>181</v>
      </c>
      <c r="I22" s="5" t="s">
        <v>157</v>
      </c>
      <c r="J22" s="5" t="s">
        <v>39</v>
      </c>
      <c r="K22" s="5" t="n">
        <v>3</v>
      </c>
    </row>
    <row r="23" customFormat="false" ht="15" hidden="false" customHeight="false" outlineLevel="0" collapsed="false">
      <c r="A23" s="5" t="s">
        <v>215</v>
      </c>
      <c r="B23" s="5" t="s">
        <v>216</v>
      </c>
      <c r="C23" s="5" t="s">
        <v>192</v>
      </c>
      <c r="D23" s="5" t="n">
        <v>39.97</v>
      </c>
      <c r="E23" s="5" t="s">
        <v>154</v>
      </c>
      <c r="F23" s="5" t="n">
        <v>48</v>
      </c>
      <c r="G23" s="5" t="s">
        <v>174</v>
      </c>
      <c r="H23" s="5" t="s">
        <v>175</v>
      </c>
      <c r="I23" s="5" t="s">
        <v>157</v>
      </c>
      <c r="J23" s="5" t="s">
        <v>39</v>
      </c>
      <c r="K23" s="5" t="n">
        <v>3</v>
      </c>
    </row>
    <row r="24" customFormat="false" ht="15" hidden="false" customHeight="false" outlineLevel="0" collapsed="false">
      <c r="A24" s="5" t="s">
        <v>217</v>
      </c>
      <c r="B24" s="5" t="s">
        <v>218</v>
      </c>
      <c r="C24" s="5" t="s">
        <v>153</v>
      </c>
      <c r="D24" s="5" t="n">
        <v>314.93</v>
      </c>
      <c r="E24" s="5" t="s">
        <v>154</v>
      </c>
      <c r="F24" s="5" t="n">
        <v>24</v>
      </c>
      <c r="G24" s="5" t="s">
        <v>155</v>
      </c>
      <c r="H24" s="5" t="s">
        <v>156</v>
      </c>
      <c r="I24" s="5" t="s">
        <v>157</v>
      </c>
      <c r="J24" s="5" t="s">
        <v>39</v>
      </c>
      <c r="K24" s="5" t="n">
        <v>3</v>
      </c>
    </row>
    <row r="25" customFormat="false" ht="15" hidden="false" customHeight="false" outlineLevel="0" collapsed="false">
      <c r="A25" s="5" t="s">
        <v>219</v>
      </c>
      <c r="B25" s="5" t="s">
        <v>220</v>
      </c>
      <c r="C25" s="5" t="s">
        <v>221</v>
      </c>
      <c r="D25" s="5" t="n">
        <v>630.72</v>
      </c>
      <c r="E25" s="5" t="s">
        <v>154</v>
      </c>
      <c r="F25" s="5" t="n">
        <v>24</v>
      </c>
      <c r="G25" s="5" t="s">
        <v>155</v>
      </c>
      <c r="H25" s="5" t="s">
        <v>156</v>
      </c>
      <c r="I25" s="5" t="s">
        <v>157</v>
      </c>
      <c r="J25" s="5" t="s">
        <v>39</v>
      </c>
      <c r="K25" s="5" t="n">
        <v>10</v>
      </c>
    </row>
    <row r="26" customFormat="false" ht="15" hidden="false" customHeight="false" outlineLevel="0" collapsed="false">
      <c r="A26" s="5" t="s">
        <v>222</v>
      </c>
      <c r="B26" s="5" t="s">
        <v>223</v>
      </c>
      <c r="C26" s="5" t="s">
        <v>192</v>
      </c>
      <c r="D26" s="5" t="n">
        <v>195.52</v>
      </c>
      <c r="E26" s="5" t="s">
        <v>154</v>
      </c>
      <c r="F26" s="5" t="n">
        <v>12</v>
      </c>
      <c r="G26" s="5" t="s">
        <v>161</v>
      </c>
      <c r="H26" s="5" t="s">
        <v>162</v>
      </c>
      <c r="I26" s="5" t="s">
        <v>157</v>
      </c>
      <c r="J26" s="5" t="s">
        <v>39</v>
      </c>
      <c r="K26" s="5" t="n">
        <v>21</v>
      </c>
    </row>
    <row r="27" customFormat="false" ht="15" hidden="false" customHeight="false" outlineLevel="0" collapsed="false">
      <c r="A27" s="5" t="s">
        <v>224</v>
      </c>
      <c r="B27" s="5" t="s">
        <v>225</v>
      </c>
      <c r="C27" s="5" t="s">
        <v>166</v>
      </c>
      <c r="D27" s="5" t="n">
        <v>39.69</v>
      </c>
      <c r="E27" s="5" t="s">
        <v>154</v>
      </c>
      <c r="F27" s="5" t="n">
        <v>36</v>
      </c>
      <c r="G27" s="5" t="s">
        <v>161</v>
      </c>
      <c r="H27" s="5" t="s">
        <v>162</v>
      </c>
      <c r="I27" s="5" t="s">
        <v>157</v>
      </c>
      <c r="J27" s="5" t="s">
        <v>39</v>
      </c>
      <c r="K27" s="5" t="n">
        <v>14</v>
      </c>
    </row>
    <row r="28" customFormat="false" ht="15" hidden="false" customHeight="false" outlineLevel="0" collapsed="false">
      <c r="A28" s="5" t="s">
        <v>226</v>
      </c>
      <c r="B28" s="5" t="s">
        <v>227</v>
      </c>
      <c r="C28" s="5" t="s">
        <v>221</v>
      </c>
      <c r="D28" s="5" t="n">
        <v>58.63</v>
      </c>
      <c r="E28" s="5" t="s">
        <v>154</v>
      </c>
      <c r="F28" s="5" t="n">
        <v>24</v>
      </c>
      <c r="G28" s="5" t="s">
        <v>174</v>
      </c>
      <c r="H28" s="5" t="s">
        <v>175</v>
      </c>
      <c r="I28" s="5" t="s">
        <v>157</v>
      </c>
      <c r="J28" s="5" t="s">
        <v>39</v>
      </c>
      <c r="K28" s="5" t="n">
        <v>21</v>
      </c>
    </row>
    <row r="29" customFormat="false" ht="15" hidden="false" customHeight="false" outlineLevel="0" collapsed="false">
      <c r="A29" s="5" t="s">
        <v>228</v>
      </c>
      <c r="B29" s="5" t="s">
        <v>229</v>
      </c>
      <c r="C29" s="5" t="s">
        <v>153</v>
      </c>
      <c r="D29" s="5" t="n">
        <v>603.09</v>
      </c>
      <c r="E29" s="5" t="s">
        <v>154</v>
      </c>
      <c r="F29" s="5" t="n">
        <v>48</v>
      </c>
      <c r="G29" s="5" t="s">
        <v>180</v>
      </c>
      <c r="H29" s="5" t="s">
        <v>181</v>
      </c>
      <c r="I29" s="5" t="s">
        <v>157</v>
      </c>
      <c r="J29" s="5" t="s">
        <v>39</v>
      </c>
      <c r="K29" s="5" t="n">
        <v>14</v>
      </c>
    </row>
    <row r="30" customFormat="false" ht="15" hidden="false" customHeight="false" outlineLevel="0" collapsed="false">
      <c r="A30" s="5" t="s">
        <v>230</v>
      </c>
      <c r="B30" s="5" t="s">
        <v>231</v>
      </c>
      <c r="C30" s="5" t="s">
        <v>166</v>
      </c>
      <c r="D30" s="5" t="n">
        <v>272.95</v>
      </c>
      <c r="E30" s="5" t="s">
        <v>154</v>
      </c>
      <c r="F30" s="5" t="n">
        <v>48</v>
      </c>
      <c r="G30" s="5" t="s">
        <v>161</v>
      </c>
      <c r="H30" s="5" t="s">
        <v>162</v>
      </c>
      <c r="I30" s="5" t="s">
        <v>157</v>
      </c>
      <c r="J30" s="5" t="s">
        <v>39</v>
      </c>
      <c r="K30" s="5" t="n">
        <v>14</v>
      </c>
    </row>
    <row r="31" customFormat="false" ht="15" hidden="false" customHeight="false" outlineLevel="0" collapsed="false">
      <c r="A31" s="5" t="s">
        <v>232</v>
      </c>
      <c r="B31" s="5" t="s">
        <v>233</v>
      </c>
      <c r="C31" s="5" t="s">
        <v>185</v>
      </c>
      <c r="D31" s="5" t="n">
        <v>431.27</v>
      </c>
      <c r="E31" s="5" t="s">
        <v>154</v>
      </c>
      <c r="F31" s="5" t="n">
        <v>24</v>
      </c>
      <c r="G31" s="5" t="s">
        <v>180</v>
      </c>
      <c r="H31" s="5" t="s">
        <v>181</v>
      </c>
      <c r="I31" s="5" t="s">
        <v>157</v>
      </c>
      <c r="J31" s="5" t="s">
        <v>39</v>
      </c>
      <c r="K31" s="5" t="n">
        <v>7</v>
      </c>
    </row>
    <row r="32" customFormat="false" ht="15" hidden="false" customHeight="false" outlineLevel="0" collapsed="false">
      <c r="A32" s="6" t="s">
        <v>234</v>
      </c>
      <c r="B32" s="6" t="s">
        <v>235</v>
      </c>
      <c r="C32" s="6" t="s">
        <v>160</v>
      </c>
      <c r="D32" s="6" t="n">
        <v>415.96</v>
      </c>
      <c r="E32" s="6" t="s">
        <v>154</v>
      </c>
      <c r="F32" s="6" t="n">
        <v>36</v>
      </c>
      <c r="G32" s="6" t="s">
        <v>169</v>
      </c>
      <c r="H32" s="6" t="s">
        <v>170</v>
      </c>
      <c r="I32" s="6" t="s">
        <v>157</v>
      </c>
      <c r="J32" s="6" t="s">
        <v>182</v>
      </c>
      <c r="K32" s="6" t="n">
        <v>3</v>
      </c>
    </row>
    <row r="33" customFormat="false" ht="15" hidden="false" customHeight="false" outlineLevel="0" collapsed="false">
      <c r="A33" s="5" t="s">
        <v>236</v>
      </c>
      <c r="B33" s="5" t="s">
        <v>237</v>
      </c>
      <c r="C33" s="5" t="s">
        <v>192</v>
      </c>
      <c r="D33" s="5" t="n">
        <v>637.53</v>
      </c>
      <c r="E33" s="5" t="s">
        <v>154</v>
      </c>
      <c r="F33" s="5" t="n">
        <v>12</v>
      </c>
      <c r="G33" s="5" t="s">
        <v>161</v>
      </c>
      <c r="H33" s="5" t="s">
        <v>162</v>
      </c>
      <c r="I33" s="5" t="s">
        <v>157</v>
      </c>
      <c r="J33" s="5" t="s">
        <v>39</v>
      </c>
      <c r="K33" s="5" t="n">
        <v>5</v>
      </c>
    </row>
    <row r="34" customFormat="false" ht="15" hidden="false" customHeight="false" outlineLevel="0" collapsed="false">
      <c r="A34" s="5" t="s">
        <v>238</v>
      </c>
      <c r="B34" s="5" t="s">
        <v>239</v>
      </c>
      <c r="C34" s="5" t="s">
        <v>240</v>
      </c>
      <c r="D34" s="5" t="n">
        <v>564.71</v>
      </c>
      <c r="E34" s="5" t="s">
        <v>154</v>
      </c>
      <c r="F34" s="5" t="n">
        <v>24</v>
      </c>
      <c r="G34" s="5" t="s">
        <v>169</v>
      </c>
      <c r="H34" s="5" t="s">
        <v>170</v>
      </c>
      <c r="I34" s="5" t="s">
        <v>157</v>
      </c>
      <c r="J34" s="5" t="s">
        <v>39</v>
      </c>
      <c r="K34" s="5" t="n">
        <v>5</v>
      </c>
    </row>
    <row r="35" customFormat="false" ht="15" hidden="false" customHeight="false" outlineLevel="0" collapsed="false">
      <c r="A35" s="5" t="s">
        <v>241</v>
      </c>
      <c r="B35" s="5" t="s">
        <v>242</v>
      </c>
      <c r="C35" s="5" t="s">
        <v>192</v>
      </c>
      <c r="D35" s="5" t="n">
        <v>199.19</v>
      </c>
      <c r="E35" s="5" t="s">
        <v>154</v>
      </c>
      <c r="F35" s="5" t="n">
        <v>48</v>
      </c>
      <c r="G35" s="5" t="s">
        <v>174</v>
      </c>
      <c r="H35" s="5" t="s">
        <v>175</v>
      </c>
      <c r="I35" s="5" t="s">
        <v>157</v>
      </c>
      <c r="J35" s="5" t="s">
        <v>39</v>
      </c>
      <c r="K35" s="5" t="n">
        <v>21</v>
      </c>
    </row>
    <row r="36" customFormat="false" ht="15" hidden="false" customHeight="false" outlineLevel="0" collapsed="false">
      <c r="A36" s="5" t="s">
        <v>243</v>
      </c>
      <c r="B36" s="5" t="s">
        <v>244</v>
      </c>
      <c r="C36" s="5" t="s">
        <v>240</v>
      </c>
      <c r="D36" s="5" t="n">
        <v>92.87</v>
      </c>
      <c r="E36" s="5" t="s">
        <v>154</v>
      </c>
      <c r="F36" s="5" t="n">
        <v>12</v>
      </c>
      <c r="G36" s="5" t="s">
        <v>174</v>
      </c>
      <c r="H36" s="5" t="s">
        <v>175</v>
      </c>
      <c r="I36" s="5" t="s">
        <v>157</v>
      </c>
      <c r="J36" s="5" t="s">
        <v>39</v>
      </c>
      <c r="K36" s="5" t="n">
        <v>7</v>
      </c>
    </row>
    <row r="37" customFormat="false" ht="15" hidden="false" customHeight="false" outlineLevel="0" collapsed="false">
      <c r="A37" s="5" t="s">
        <v>245</v>
      </c>
      <c r="B37" s="5" t="s">
        <v>246</v>
      </c>
      <c r="C37" s="5" t="s">
        <v>240</v>
      </c>
      <c r="D37" s="5" t="n">
        <v>461.53</v>
      </c>
      <c r="E37" s="5" t="s">
        <v>154</v>
      </c>
      <c r="F37" s="5" t="n">
        <v>24</v>
      </c>
      <c r="G37" s="5" t="s">
        <v>203</v>
      </c>
      <c r="H37" s="5" t="s">
        <v>204</v>
      </c>
      <c r="I37" s="5" t="s">
        <v>157</v>
      </c>
      <c r="J37" s="5" t="s">
        <v>39</v>
      </c>
      <c r="K37" s="5" t="n">
        <v>14</v>
      </c>
    </row>
    <row r="38" customFormat="false" ht="15" hidden="false" customHeight="false" outlineLevel="0" collapsed="false">
      <c r="A38" s="5" t="s">
        <v>247</v>
      </c>
      <c r="B38" s="5" t="s">
        <v>248</v>
      </c>
      <c r="C38" s="5" t="s">
        <v>192</v>
      </c>
      <c r="D38" s="5" t="n">
        <v>40.1</v>
      </c>
      <c r="E38" s="5" t="s">
        <v>154</v>
      </c>
      <c r="F38" s="5" t="n">
        <v>36</v>
      </c>
      <c r="G38" s="5" t="s">
        <v>169</v>
      </c>
      <c r="H38" s="5" t="s">
        <v>170</v>
      </c>
      <c r="I38" s="5" t="s">
        <v>157</v>
      </c>
      <c r="J38" s="5" t="s">
        <v>39</v>
      </c>
      <c r="K38" s="5" t="n">
        <v>3</v>
      </c>
    </row>
    <row r="39" customFormat="false" ht="15" hidden="false" customHeight="false" outlineLevel="0" collapsed="false">
      <c r="A39" s="5" t="s">
        <v>249</v>
      </c>
      <c r="B39" s="5" t="s">
        <v>250</v>
      </c>
      <c r="C39" s="5" t="s">
        <v>166</v>
      </c>
      <c r="D39" s="5" t="n">
        <v>90.68</v>
      </c>
      <c r="E39" s="5" t="s">
        <v>154</v>
      </c>
      <c r="F39" s="5" t="n">
        <v>24</v>
      </c>
      <c r="G39" s="5" t="s">
        <v>180</v>
      </c>
      <c r="H39" s="5" t="s">
        <v>181</v>
      </c>
      <c r="I39" s="5" t="s">
        <v>157</v>
      </c>
      <c r="J39" s="5" t="s">
        <v>39</v>
      </c>
      <c r="K39" s="5" t="n">
        <v>21</v>
      </c>
    </row>
    <row r="40" customFormat="false" ht="15" hidden="false" customHeight="false" outlineLevel="0" collapsed="false">
      <c r="A40" s="5" t="s">
        <v>251</v>
      </c>
      <c r="B40" s="5" t="s">
        <v>252</v>
      </c>
      <c r="C40" s="5" t="s">
        <v>192</v>
      </c>
      <c r="D40" s="5" t="n">
        <v>278.3</v>
      </c>
      <c r="E40" s="5" t="s">
        <v>154</v>
      </c>
      <c r="F40" s="5" t="n">
        <v>12</v>
      </c>
      <c r="G40" s="5" t="s">
        <v>174</v>
      </c>
      <c r="H40" s="5" t="s">
        <v>175</v>
      </c>
      <c r="I40" s="5" t="s">
        <v>157</v>
      </c>
      <c r="J40" s="5" t="s">
        <v>39</v>
      </c>
      <c r="K40" s="5" t="n">
        <v>3</v>
      </c>
    </row>
    <row r="41" customFormat="false" ht="15" hidden="false" customHeight="false" outlineLevel="0" collapsed="false">
      <c r="A41" s="5" t="s">
        <v>253</v>
      </c>
      <c r="B41" s="5" t="s">
        <v>254</v>
      </c>
      <c r="C41" s="5" t="s">
        <v>221</v>
      </c>
      <c r="D41" s="5" t="n">
        <v>535.46</v>
      </c>
      <c r="E41" s="5" t="s">
        <v>154</v>
      </c>
      <c r="F41" s="5" t="n">
        <v>48</v>
      </c>
      <c r="G41" s="5" t="s">
        <v>161</v>
      </c>
      <c r="H41" s="5" t="s">
        <v>162</v>
      </c>
      <c r="I41" s="5" t="s">
        <v>157</v>
      </c>
      <c r="J41" s="5" t="s">
        <v>39</v>
      </c>
      <c r="K41" s="5" t="n">
        <v>10</v>
      </c>
    </row>
    <row r="42" customFormat="false" ht="15" hidden="false" customHeight="false" outlineLevel="0" collapsed="false">
      <c r="A42" s="5" t="s">
        <v>255</v>
      </c>
      <c r="B42" s="5" t="s">
        <v>256</v>
      </c>
      <c r="C42" s="5" t="s">
        <v>221</v>
      </c>
      <c r="D42" s="5" t="n">
        <v>238.46</v>
      </c>
      <c r="E42" s="5" t="s">
        <v>154</v>
      </c>
      <c r="F42" s="5" t="n">
        <v>12</v>
      </c>
      <c r="G42" s="5" t="s">
        <v>169</v>
      </c>
      <c r="H42" s="5" t="s">
        <v>170</v>
      </c>
      <c r="I42" s="5" t="s">
        <v>157</v>
      </c>
      <c r="J42" s="5" t="s">
        <v>39</v>
      </c>
      <c r="K42" s="5" t="n">
        <v>21</v>
      </c>
    </row>
    <row r="43" customFormat="false" ht="15" hidden="false" customHeight="false" outlineLevel="0" collapsed="false">
      <c r="A43" s="5" t="s">
        <v>257</v>
      </c>
      <c r="B43" s="5" t="s">
        <v>258</v>
      </c>
      <c r="C43" s="5" t="s">
        <v>153</v>
      </c>
      <c r="D43" s="5" t="n">
        <v>501.03</v>
      </c>
      <c r="E43" s="5" t="s">
        <v>154</v>
      </c>
      <c r="F43" s="5" t="n">
        <v>36</v>
      </c>
      <c r="G43" s="5" t="s">
        <v>161</v>
      </c>
      <c r="H43" s="5" t="s">
        <v>162</v>
      </c>
      <c r="I43" s="5" t="s">
        <v>157</v>
      </c>
      <c r="J43" s="5" t="s">
        <v>39</v>
      </c>
      <c r="K43" s="5" t="n">
        <v>21</v>
      </c>
    </row>
    <row r="44" customFormat="false" ht="15" hidden="false" customHeight="false" outlineLevel="0" collapsed="false">
      <c r="A44" s="5" t="s">
        <v>259</v>
      </c>
      <c r="B44" s="5" t="s">
        <v>260</v>
      </c>
      <c r="C44" s="5" t="s">
        <v>221</v>
      </c>
      <c r="D44" s="5" t="n">
        <v>110.7</v>
      </c>
      <c r="E44" s="5" t="s">
        <v>154</v>
      </c>
      <c r="F44" s="5" t="n">
        <v>24</v>
      </c>
      <c r="G44" s="5" t="s">
        <v>155</v>
      </c>
      <c r="H44" s="5" t="s">
        <v>156</v>
      </c>
      <c r="I44" s="5" t="s">
        <v>157</v>
      </c>
      <c r="J44" s="5" t="s">
        <v>39</v>
      </c>
      <c r="K44" s="5" t="n">
        <v>5</v>
      </c>
    </row>
    <row r="45" customFormat="false" ht="15" hidden="false" customHeight="false" outlineLevel="0" collapsed="false">
      <c r="A45" s="5" t="s">
        <v>261</v>
      </c>
      <c r="B45" s="5" t="s">
        <v>262</v>
      </c>
      <c r="C45" s="5" t="s">
        <v>185</v>
      </c>
      <c r="D45" s="5" t="n">
        <v>431.38</v>
      </c>
      <c r="E45" s="5" t="s">
        <v>154</v>
      </c>
      <c r="F45" s="5" t="n">
        <v>24</v>
      </c>
      <c r="G45" s="5" t="s">
        <v>169</v>
      </c>
      <c r="H45" s="5" t="s">
        <v>170</v>
      </c>
      <c r="I45" s="5" t="s">
        <v>157</v>
      </c>
      <c r="J45" s="5" t="s">
        <v>39</v>
      </c>
      <c r="K45" s="5" t="n">
        <v>5</v>
      </c>
    </row>
    <row r="46" customFormat="false" ht="15" hidden="false" customHeight="false" outlineLevel="0" collapsed="false">
      <c r="A46" s="5" t="s">
        <v>263</v>
      </c>
      <c r="B46" s="5" t="s">
        <v>264</v>
      </c>
      <c r="C46" s="5" t="s">
        <v>173</v>
      </c>
      <c r="D46" s="5" t="n">
        <v>32.47</v>
      </c>
      <c r="E46" s="5" t="s">
        <v>154</v>
      </c>
      <c r="F46" s="5" t="n">
        <v>36</v>
      </c>
      <c r="G46" s="5" t="s">
        <v>180</v>
      </c>
      <c r="H46" s="5" t="s">
        <v>181</v>
      </c>
      <c r="I46" s="5" t="s">
        <v>157</v>
      </c>
      <c r="J46" s="5" t="s">
        <v>39</v>
      </c>
      <c r="K46" s="5" t="n">
        <v>5</v>
      </c>
    </row>
    <row r="47" customFormat="false" ht="15" hidden="false" customHeight="false" outlineLevel="0" collapsed="false">
      <c r="A47" s="5" t="s">
        <v>265</v>
      </c>
      <c r="B47" s="5" t="s">
        <v>266</v>
      </c>
      <c r="C47" s="5" t="s">
        <v>192</v>
      </c>
      <c r="D47" s="5" t="n">
        <v>526.58</v>
      </c>
      <c r="E47" s="5" t="s">
        <v>154</v>
      </c>
      <c r="F47" s="5" t="n">
        <v>24</v>
      </c>
      <c r="G47" s="5" t="s">
        <v>180</v>
      </c>
      <c r="H47" s="5" t="s">
        <v>181</v>
      </c>
      <c r="I47" s="5" t="s">
        <v>157</v>
      </c>
      <c r="J47" s="5" t="s">
        <v>39</v>
      </c>
      <c r="K47" s="5" t="n">
        <v>3</v>
      </c>
    </row>
    <row r="48" customFormat="false" ht="15" hidden="false" customHeight="false" outlineLevel="0" collapsed="false">
      <c r="A48" s="5" t="s">
        <v>267</v>
      </c>
      <c r="B48" s="5" t="s">
        <v>268</v>
      </c>
      <c r="C48" s="5" t="s">
        <v>153</v>
      </c>
      <c r="D48" s="5" t="n">
        <v>184.08</v>
      </c>
      <c r="E48" s="5" t="s">
        <v>154</v>
      </c>
      <c r="F48" s="5" t="n">
        <v>12</v>
      </c>
      <c r="G48" s="5" t="s">
        <v>169</v>
      </c>
      <c r="H48" s="5" t="s">
        <v>170</v>
      </c>
      <c r="I48" s="5" t="s">
        <v>157</v>
      </c>
      <c r="J48" s="5" t="s">
        <v>39</v>
      </c>
      <c r="K48" s="5" t="n">
        <v>7</v>
      </c>
    </row>
    <row r="49" customFormat="false" ht="15" hidden="false" customHeight="false" outlineLevel="0" collapsed="false">
      <c r="A49" s="5" t="s">
        <v>269</v>
      </c>
      <c r="B49" s="5" t="s">
        <v>270</v>
      </c>
      <c r="C49" s="5" t="s">
        <v>160</v>
      </c>
      <c r="D49" s="5" t="n">
        <v>601.6</v>
      </c>
      <c r="E49" s="5" t="s">
        <v>154</v>
      </c>
      <c r="F49" s="5" t="n">
        <v>12</v>
      </c>
      <c r="G49" s="5" t="s">
        <v>169</v>
      </c>
      <c r="H49" s="5" t="s">
        <v>170</v>
      </c>
      <c r="I49" s="5" t="s">
        <v>157</v>
      </c>
      <c r="J49" s="5" t="s">
        <v>39</v>
      </c>
      <c r="K49" s="5" t="n">
        <v>14</v>
      </c>
    </row>
    <row r="50" customFormat="false" ht="15" hidden="false" customHeight="false" outlineLevel="0" collapsed="false">
      <c r="A50" s="5" t="s">
        <v>271</v>
      </c>
      <c r="B50" s="5" t="s">
        <v>272</v>
      </c>
      <c r="C50" s="5" t="s">
        <v>240</v>
      </c>
      <c r="D50" s="5" t="n">
        <v>385.03</v>
      </c>
      <c r="E50" s="5" t="s">
        <v>154</v>
      </c>
      <c r="F50" s="5" t="n">
        <v>24</v>
      </c>
      <c r="G50" s="5" t="s">
        <v>203</v>
      </c>
      <c r="H50" s="5" t="s">
        <v>204</v>
      </c>
      <c r="I50" s="5" t="s">
        <v>157</v>
      </c>
      <c r="J50" s="5" t="s">
        <v>39</v>
      </c>
      <c r="K50" s="5" t="n">
        <v>10</v>
      </c>
    </row>
    <row r="51" customFormat="false" ht="15" hidden="false" customHeight="false" outlineLevel="0" collapsed="false">
      <c r="A51" s="5" t="s">
        <v>273</v>
      </c>
      <c r="B51" s="5" t="s">
        <v>274</v>
      </c>
      <c r="C51" s="5" t="s">
        <v>173</v>
      </c>
      <c r="D51" s="5" t="n">
        <v>128.13</v>
      </c>
      <c r="E51" s="5" t="s">
        <v>154</v>
      </c>
      <c r="F51" s="5" t="n">
        <v>12</v>
      </c>
      <c r="G51" s="5" t="s">
        <v>203</v>
      </c>
      <c r="H51" s="5" t="s">
        <v>204</v>
      </c>
      <c r="I51" s="5" t="s">
        <v>157</v>
      </c>
      <c r="J51" s="5" t="s">
        <v>39</v>
      </c>
      <c r="K51" s="5" t="n">
        <v>10</v>
      </c>
    </row>
    <row r="52" customFormat="false" ht="15" hidden="false" customHeight="false" outlineLevel="0" collapsed="false">
      <c r="A52" s="5" t="s">
        <v>275</v>
      </c>
      <c r="B52" s="5" t="s">
        <v>276</v>
      </c>
      <c r="C52" s="5" t="s">
        <v>166</v>
      </c>
      <c r="D52" s="5" t="n">
        <v>348.3</v>
      </c>
      <c r="E52" s="5" t="s">
        <v>154</v>
      </c>
      <c r="F52" s="5" t="n">
        <v>24</v>
      </c>
      <c r="G52" s="5" t="s">
        <v>169</v>
      </c>
      <c r="H52" s="5" t="s">
        <v>170</v>
      </c>
      <c r="I52" s="5" t="s">
        <v>157</v>
      </c>
      <c r="J52" s="5" t="s">
        <v>39</v>
      </c>
      <c r="K52" s="5" t="n">
        <v>10</v>
      </c>
    </row>
    <row r="53" customFormat="false" ht="15" hidden="false" customHeight="false" outlineLevel="0" collapsed="false">
      <c r="A53" s="5" t="s">
        <v>277</v>
      </c>
      <c r="B53" s="5" t="s">
        <v>278</v>
      </c>
      <c r="C53" s="5" t="s">
        <v>173</v>
      </c>
      <c r="D53" s="5" t="n">
        <v>206.39</v>
      </c>
      <c r="E53" s="5" t="s">
        <v>154</v>
      </c>
      <c r="F53" s="5" t="n">
        <v>12</v>
      </c>
      <c r="G53" s="5" t="s">
        <v>203</v>
      </c>
      <c r="H53" s="5" t="s">
        <v>204</v>
      </c>
      <c r="I53" s="5" t="s">
        <v>157</v>
      </c>
      <c r="J53" s="5" t="s">
        <v>39</v>
      </c>
      <c r="K53" s="5" t="n">
        <v>7</v>
      </c>
    </row>
    <row r="54" customFormat="false" ht="15" hidden="false" customHeight="false" outlineLevel="0" collapsed="false">
      <c r="A54" s="5" t="s">
        <v>279</v>
      </c>
      <c r="B54" s="5" t="s">
        <v>280</v>
      </c>
      <c r="C54" s="5" t="s">
        <v>240</v>
      </c>
      <c r="D54" s="5" t="n">
        <v>262.32</v>
      </c>
      <c r="E54" s="5" t="s">
        <v>154</v>
      </c>
      <c r="F54" s="5" t="n">
        <v>24</v>
      </c>
      <c r="G54" s="5" t="s">
        <v>161</v>
      </c>
      <c r="H54" s="5" t="s">
        <v>162</v>
      </c>
      <c r="I54" s="5" t="s">
        <v>157</v>
      </c>
      <c r="J54" s="5" t="s">
        <v>39</v>
      </c>
      <c r="K54" s="5" t="n">
        <v>5</v>
      </c>
    </row>
    <row r="55" customFormat="false" ht="15" hidden="false" customHeight="false" outlineLevel="0" collapsed="false">
      <c r="A55" s="5" t="s">
        <v>281</v>
      </c>
      <c r="B55" s="5" t="s">
        <v>282</v>
      </c>
      <c r="C55" s="5" t="s">
        <v>160</v>
      </c>
      <c r="D55" s="5" t="n">
        <v>480.82</v>
      </c>
      <c r="E55" s="5" t="s">
        <v>154</v>
      </c>
      <c r="F55" s="5" t="n">
        <v>24</v>
      </c>
      <c r="G55" s="5" t="s">
        <v>161</v>
      </c>
      <c r="H55" s="5" t="s">
        <v>162</v>
      </c>
      <c r="I55" s="5" t="s">
        <v>157</v>
      </c>
      <c r="J55" s="5" t="s">
        <v>39</v>
      </c>
      <c r="K55" s="5" t="n">
        <v>10</v>
      </c>
    </row>
    <row r="56" customFormat="false" ht="15" hidden="false" customHeight="false" outlineLevel="0" collapsed="false">
      <c r="A56" s="5" t="s">
        <v>283</v>
      </c>
      <c r="B56" s="5" t="s">
        <v>284</v>
      </c>
      <c r="C56" s="5" t="s">
        <v>166</v>
      </c>
      <c r="D56" s="5" t="n">
        <v>140.84</v>
      </c>
      <c r="E56" s="5" t="s">
        <v>154</v>
      </c>
      <c r="F56" s="5" t="n">
        <v>48</v>
      </c>
      <c r="G56" s="5" t="s">
        <v>161</v>
      </c>
      <c r="H56" s="5" t="s">
        <v>162</v>
      </c>
      <c r="I56" s="5" t="s">
        <v>157</v>
      </c>
      <c r="J56" s="5" t="s">
        <v>39</v>
      </c>
      <c r="K56" s="5" t="n">
        <v>21</v>
      </c>
    </row>
    <row r="57" customFormat="false" ht="15" hidden="false" customHeight="false" outlineLevel="0" collapsed="false">
      <c r="A57" s="5" t="s">
        <v>285</v>
      </c>
      <c r="B57" s="5" t="s">
        <v>286</v>
      </c>
      <c r="C57" s="5" t="s">
        <v>185</v>
      </c>
      <c r="D57" s="5" t="n">
        <v>287.44</v>
      </c>
      <c r="E57" s="5" t="s">
        <v>154</v>
      </c>
      <c r="F57" s="5" t="n">
        <v>24</v>
      </c>
      <c r="G57" s="5" t="s">
        <v>161</v>
      </c>
      <c r="H57" s="5" t="s">
        <v>162</v>
      </c>
      <c r="I57" s="5" t="s">
        <v>157</v>
      </c>
      <c r="J57" s="5" t="s">
        <v>39</v>
      </c>
      <c r="K57" s="5" t="n">
        <v>10</v>
      </c>
    </row>
    <row r="58" customFormat="false" ht="15" hidden="false" customHeight="false" outlineLevel="0" collapsed="false">
      <c r="A58" s="5" t="s">
        <v>287</v>
      </c>
      <c r="B58" s="5" t="s">
        <v>288</v>
      </c>
      <c r="C58" s="5" t="s">
        <v>221</v>
      </c>
      <c r="D58" s="5" t="n">
        <v>333.77</v>
      </c>
      <c r="E58" s="5" t="s">
        <v>154</v>
      </c>
      <c r="F58" s="5" t="n">
        <v>48</v>
      </c>
      <c r="G58" s="5" t="s">
        <v>169</v>
      </c>
      <c r="H58" s="5" t="s">
        <v>170</v>
      </c>
      <c r="I58" s="5" t="s">
        <v>157</v>
      </c>
      <c r="J58" s="5" t="s">
        <v>39</v>
      </c>
      <c r="K58" s="5" t="n">
        <v>5</v>
      </c>
    </row>
    <row r="59" customFormat="false" ht="15" hidden="false" customHeight="false" outlineLevel="0" collapsed="false">
      <c r="A59" s="5" t="s">
        <v>289</v>
      </c>
      <c r="B59" s="5" t="s">
        <v>290</v>
      </c>
      <c r="C59" s="5" t="s">
        <v>240</v>
      </c>
      <c r="D59" s="5" t="n">
        <v>133.85</v>
      </c>
      <c r="E59" s="5" t="s">
        <v>154</v>
      </c>
      <c r="F59" s="5" t="n">
        <v>12</v>
      </c>
      <c r="G59" s="5" t="s">
        <v>174</v>
      </c>
      <c r="H59" s="5" t="s">
        <v>175</v>
      </c>
      <c r="I59" s="5" t="s">
        <v>157</v>
      </c>
      <c r="J59" s="5" t="s">
        <v>39</v>
      </c>
      <c r="K59" s="5" t="n">
        <v>10</v>
      </c>
    </row>
    <row r="60" customFormat="false" ht="15" hidden="false" customHeight="false" outlineLevel="0" collapsed="false">
      <c r="A60" s="5" t="s">
        <v>291</v>
      </c>
      <c r="B60" s="5" t="s">
        <v>292</v>
      </c>
      <c r="C60" s="5" t="s">
        <v>173</v>
      </c>
      <c r="D60" s="5" t="n">
        <v>568.04</v>
      </c>
      <c r="E60" s="5" t="s">
        <v>154</v>
      </c>
      <c r="F60" s="5" t="n">
        <v>48</v>
      </c>
      <c r="G60" s="5" t="s">
        <v>180</v>
      </c>
      <c r="H60" s="5" t="s">
        <v>181</v>
      </c>
      <c r="I60" s="5" t="s">
        <v>157</v>
      </c>
      <c r="J60" s="5" t="s">
        <v>39</v>
      </c>
      <c r="K60" s="5" t="n">
        <v>21</v>
      </c>
    </row>
    <row r="61" customFormat="false" ht="15" hidden="false" customHeight="false" outlineLevel="0" collapsed="false">
      <c r="A61" s="5" t="s">
        <v>293</v>
      </c>
      <c r="B61" s="5" t="s">
        <v>294</v>
      </c>
      <c r="C61" s="5" t="s">
        <v>160</v>
      </c>
      <c r="D61" s="5" t="n">
        <v>162.2</v>
      </c>
      <c r="E61" s="5" t="s">
        <v>154</v>
      </c>
      <c r="F61" s="5" t="n">
        <v>12</v>
      </c>
      <c r="G61" s="5" t="s">
        <v>174</v>
      </c>
      <c r="H61" s="5" t="s">
        <v>175</v>
      </c>
      <c r="I61" s="5" t="s">
        <v>163</v>
      </c>
      <c r="J61" s="5" t="s">
        <v>39</v>
      </c>
      <c r="K61" s="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5" min="3" style="0" width="10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23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4" t="s">
        <v>295</v>
      </c>
      <c r="B1" s="4" t="s">
        <v>296</v>
      </c>
      <c r="C1" s="4" t="s">
        <v>23</v>
      </c>
      <c r="D1" s="4" t="s">
        <v>141</v>
      </c>
      <c r="E1" s="4" t="s">
        <v>297</v>
      </c>
      <c r="F1" s="4" t="s">
        <v>144</v>
      </c>
      <c r="G1" s="4" t="s">
        <v>298</v>
      </c>
      <c r="H1" s="4" t="s">
        <v>299</v>
      </c>
      <c r="I1" s="4" t="s">
        <v>300</v>
      </c>
      <c r="J1" s="4" t="s">
        <v>301</v>
      </c>
      <c r="K1" s="4" t="s">
        <v>302</v>
      </c>
      <c r="L1" s="4" t="s">
        <v>145</v>
      </c>
    </row>
    <row r="2" customFormat="false" ht="15" hidden="false" customHeight="false" outlineLevel="0" collapsed="false">
      <c r="A2" s="5" t="s">
        <v>303</v>
      </c>
      <c r="B2" s="5" t="n">
        <v>1</v>
      </c>
      <c r="C2" s="5" t="s">
        <v>67</v>
      </c>
      <c r="D2" s="5" t="s">
        <v>167</v>
      </c>
      <c r="E2" s="5" t="n">
        <v>12</v>
      </c>
      <c r="F2" s="5" t="n">
        <v>637.55</v>
      </c>
      <c r="G2" s="5" t="n">
        <f aca="false">E2*F2</f>
        <v>7650.6</v>
      </c>
      <c r="H2" s="5" t="s">
        <v>304</v>
      </c>
      <c r="I2" s="5" t="s">
        <v>305</v>
      </c>
      <c r="J2" s="5" t="s">
        <v>306</v>
      </c>
      <c r="K2" s="5"/>
      <c r="L2" s="5" t="s">
        <v>154</v>
      </c>
    </row>
    <row r="3" customFormat="false" ht="15" hidden="false" customHeight="false" outlineLevel="0" collapsed="false">
      <c r="A3" s="5" t="s">
        <v>303</v>
      </c>
      <c r="B3" s="5" t="n">
        <v>2</v>
      </c>
      <c r="C3" s="5" t="s">
        <v>67</v>
      </c>
      <c r="D3" s="5" t="s">
        <v>287</v>
      </c>
      <c r="E3" s="5" t="n">
        <v>1</v>
      </c>
      <c r="F3" s="5" t="n">
        <v>333.77</v>
      </c>
      <c r="G3" s="5" t="n">
        <f aca="false">E3*F3</f>
        <v>333.77</v>
      </c>
      <c r="H3" s="5" t="s">
        <v>304</v>
      </c>
      <c r="I3" s="5" t="s">
        <v>307</v>
      </c>
      <c r="J3" s="5" t="s">
        <v>306</v>
      </c>
      <c r="K3" s="5"/>
      <c r="L3" s="5" t="s">
        <v>154</v>
      </c>
    </row>
    <row r="4" customFormat="false" ht="15" hidden="false" customHeight="false" outlineLevel="0" collapsed="false">
      <c r="A4" s="6" t="s">
        <v>308</v>
      </c>
      <c r="B4" s="6" t="n">
        <v>1</v>
      </c>
      <c r="C4" s="6" t="s">
        <v>60</v>
      </c>
      <c r="D4" s="6" t="s">
        <v>249</v>
      </c>
      <c r="E4" s="6" t="n">
        <v>20</v>
      </c>
      <c r="F4" s="6" t="n">
        <v>90.68</v>
      </c>
      <c r="G4" s="6" t="n">
        <f aca="false">E4*F4</f>
        <v>1813.6</v>
      </c>
      <c r="H4" s="6" t="s">
        <v>309</v>
      </c>
      <c r="I4" s="6" t="s">
        <v>310</v>
      </c>
      <c r="J4" s="6" t="s">
        <v>311</v>
      </c>
      <c r="K4" s="6" t="s">
        <v>312</v>
      </c>
      <c r="L4" s="6" t="s">
        <v>154</v>
      </c>
    </row>
    <row r="5" customFormat="false" ht="15" hidden="false" customHeight="false" outlineLevel="0" collapsed="false">
      <c r="A5" s="6" t="s">
        <v>308</v>
      </c>
      <c r="B5" s="6" t="n">
        <v>2</v>
      </c>
      <c r="C5" s="6" t="s">
        <v>60</v>
      </c>
      <c r="D5" s="6" t="s">
        <v>275</v>
      </c>
      <c r="E5" s="6" t="n">
        <v>10</v>
      </c>
      <c r="F5" s="6" t="n">
        <v>348.3</v>
      </c>
      <c r="G5" s="6" t="n">
        <f aca="false">E5*F5</f>
        <v>3483</v>
      </c>
      <c r="H5" s="6" t="s">
        <v>309</v>
      </c>
      <c r="I5" s="6" t="s">
        <v>313</v>
      </c>
      <c r="J5" s="6" t="s">
        <v>311</v>
      </c>
      <c r="K5" s="6" t="s">
        <v>312</v>
      </c>
      <c r="L5" s="6" t="s">
        <v>154</v>
      </c>
    </row>
    <row r="6" customFormat="false" ht="15" hidden="false" customHeight="false" outlineLevel="0" collapsed="false">
      <c r="A6" s="5" t="s">
        <v>314</v>
      </c>
      <c r="B6" s="5" t="n">
        <v>1</v>
      </c>
      <c r="C6" s="5" t="s">
        <v>100</v>
      </c>
      <c r="D6" s="5" t="s">
        <v>293</v>
      </c>
      <c r="E6" s="5" t="n">
        <v>2</v>
      </c>
      <c r="F6" s="5" t="n">
        <v>162.2</v>
      </c>
      <c r="G6" s="5" t="n">
        <f aca="false">E6*F6</f>
        <v>324.4</v>
      </c>
      <c r="H6" s="5" t="s">
        <v>315</v>
      </c>
      <c r="I6" s="5" t="s">
        <v>305</v>
      </c>
      <c r="J6" s="5" t="s">
        <v>306</v>
      </c>
      <c r="K6" s="5"/>
      <c r="L6" s="5" t="s">
        <v>154</v>
      </c>
    </row>
    <row r="7" customFormat="false" ht="15" hidden="false" customHeight="false" outlineLevel="0" collapsed="false">
      <c r="A7" s="5" t="s">
        <v>314</v>
      </c>
      <c r="B7" s="5" t="n">
        <v>2</v>
      </c>
      <c r="C7" s="5" t="s">
        <v>100</v>
      </c>
      <c r="D7" s="5" t="s">
        <v>232</v>
      </c>
      <c r="E7" s="5" t="n">
        <v>4</v>
      </c>
      <c r="F7" s="5" t="n">
        <v>431.27</v>
      </c>
      <c r="G7" s="5" t="n">
        <f aca="false">E7*F7</f>
        <v>1725.08</v>
      </c>
      <c r="H7" s="5" t="s">
        <v>315</v>
      </c>
      <c r="I7" s="5" t="s">
        <v>316</v>
      </c>
      <c r="J7" s="5" t="s">
        <v>306</v>
      </c>
      <c r="K7" s="5"/>
      <c r="L7" s="5" t="s">
        <v>154</v>
      </c>
    </row>
    <row r="8" customFormat="false" ht="15" hidden="false" customHeight="false" outlineLevel="0" collapsed="false">
      <c r="A8" s="5" t="s">
        <v>317</v>
      </c>
      <c r="B8" s="5" t="n">
        <v>1</v>
      </c>
      <c r="C8" s="5" t="s">
        <v>126</v>
      </c>
      <c r="D8" s="5" t="s">
        <v>259</v>
      </c>
      <c r="E8" s="5" t="n">
        <v>2</v>
      </c>
      <c r="F8" s="5" t="n">
        <v>110.7</v>
      </c>
      <c r="G8" s="5" t="n">
        <f aca="false">E8*F8</f>
        <v>221.4</v>
      </c>
      <c r="H8" s="5" t="s">
        <v>318</v>
      </c>
      <c r="I8" s="5" t="s">
        <v>305</v>
      </c>
      <c r="J8" s="5" t="s">
        <v>306</v>
      </c>
      <c r="K8" s="5"/>
      <c r="L8" s="5" t="s">
        <v>154</v>
      </c>
    </row>
    <row r="9" customFormat="false" ht="15" hidden="false" customHeight="false" outlineLevel="0" collapsed="false">
      <c r="A9" s="5" t="s">
        <v>319</v>
      </c>
      <c r="B9" s="5" t="n">
        <v>1</v>
      </c>
      <c r="C9" s="5" t="s">
        <v>103</v>
      </c>
      <c r="D9" s="5" t="s">
        <v>201</v>
      </c>
      <c r="E9" s="5" t="n">
        <v>8</v>
      </c>
      <c r="F9" s="5" t="n">
        <v>332.95</v>
      </c>
      <c r="G9" s="5" t="n">
        <f aca="false">E9*F9</f>
        <v>2663.6</v>
      </c>
      <c r="H9" s="5" t="s">
        <v>320</v>
      </c>
      <c r="I9" s="5" t="s">
        <v>321</v>
      </c>
      <c r="J9" s="5" t="s">
        <v>322</v>
      </c>
      <c r="K9" s="5" t="s">
        <v>323</v>
      </c>
      <c r="L9" s="5" t="s">
        <v>154</v>
      </c>
    </row>
    <row r="10" customFormat="false" ht="15" hidden="false" customHeight="false" outlineLevel="0" collapsed="false">
      <c r="A10" s="5" t="s">
        <v>324</v>
      </c>
      <c r="B10" s="5" t="n">
        <v>1</v>
      </c>
      <c r="C10" s="5" t="s">
        <v>134</v>
      </c>
      <c r="D10" s="5" t="s">
        <v>217</v>
      </c>
      <c r="E10" s="5" t="n">
        <v>12</v>
      </c>
      <c r="F10" s="5" t="n">
        <v>314.93</v>
      </c>
      <c r="G10" s="5" t="n">
        <f aca="false">E10*F10</f>
        <v>3779.16</v>
      </c>
      <c r="H10" s="5" t="s">
        <v>325</v>
      </c>
      <c r="I10" s="5" t="s">
        <v>326</v>
      </c>
      <c r="J10" s="5" t="s">
        <v>306</v>
      </c>
      <c r="K10" s="5"/>
      <c r="L10" s="5" t="s">
        <v>154</v>
      </c>
    </row>
    <row r="11" customFormat="false" ht="15" hidden="false" customHeight="false" outlineLevel="0" collapsed="false">
      <c r="A11" s="5" t="s">
        <v>327</v>
      </c>
      <c r="B11" s="5" t="n">
        <v>1</v>
      </c>
      <c r="C11" s="5" t="s">
        <v>100</v>
      </c>
      <c r="D11" s="5" t="s">
        <v>293</v>
      </c>
      <c r="E11" s="5" t="n">
        <v>20</v>
      </c>
      <c r="F11" s="5" t="n">
        <v>162.2</v>
      </c>
      <c r="G11" s="5" t="n">
        <f aca="false">E11*F11</f>
        <v>3244</v>
      </c>
      <c r="H11" s="5" t="s">
        <v>328</v>
      </c>
      <c r="I11" s="5" t="s">
        <v>329</v>
      </c>
      <c r="J11" s="5" t="s">
        <v>306</v>
      </c>
      <c r="K11" s="5"/>
      <c r="L11" s="5" t="s">
        <v>154</v>
      </c>
    </row>
    <row r="12" customFormat="false" ht="15" hidden="false" customHeight="false" outlineLevel="0" collapsed="false">
      <c r="A12" s="6" t="s">
        <v>330</v>
      </c>
      <c r="B12" s="6" t="n">
        <v>1</v>
      </c>
      <c r="C12" s="6" t="s">
        <v>119</v>
      </c>
      <c r="D12" s="6" t="s">
        <v>209</v>
      </c>
      <c r="E12" s="6" t="n">
        <v>8</v>
      </c>
      <c r="F12" s="6" t="n">
        <v>361.56</v>
      </c>
      <c r="G12" s="6" t="n">
        <f aca="false">E12*F12</f>
        <v>2892.48</v>
      </c>
      <c r="H12" s="6" t="s">
        <v>331</v>
      </c>
      <c r="I12" s="6" t="s">
        <v>332</v>
      </c>
      <c r="J12" s="6" t="s">
        <v>333</v>
      </c>
      <c r="K12" s="6" t="s">
        <v>334</v>
      </c>
      <c r="L12" s="6" t="s">
        <v>154</v>
      </c>
    </row>
    <row r="13" customFormat="false" ht="15" hidden="false" customHeight="false" outlineLevel="0" collapsed="false">
      <c r="A13" s="5" t="s">
        <v>335</v>
      </c>
      <c r="B13" s="5" t="n">
        <v>1</v>
      </c>
      <c r="C13" s="5" t="s">
        <v>33</v>
      </c>
      <c r="D13" s="5" t="s">
        <v>281</v>
      </c>
      <c r="E13" s="5" t="n">
        <v>8</v>
      </c>
      <c r="F13" s="5" t="n">
        <v>480.82</v>
      </c>
      <c r="G13" s="5" t="n">
        <f aca="false">E13*F13</f>
        <v>3846.56</v>
      </c>
      <c r="H13" s="5" t="s">
        <v>336</v>
      </c>
      <c r="I13" s="5" t="s">
        <v>337</v>
      </c>
      <c r="J13" s="5" t="s">
        <v>338</v>
      </c>
      <c r="K13" s="5"/>
      <c r="L13" s="5" t="s">
        <v>154</v>
      </c>
    </row>
    <row r="14" customFormat="false" ht="15" hidden="false" customHeight="false" outlineLevel="0" collapsed="false">
      <c r="A14" s="5" t="s">
        <v>339</v>
      </c>
      <c r="B14" s="5" t="n">
        <v>1</v>
      </c>
      <c r="C14" s="5" t="s">
        <v>103</v>
      </c>
      <c r="D14" s="5" t="s">
        <v>158</v>
      </c>
      <c r="E14" s="5" t="n">
        <v>8</v>
      </c>
      <c r="F14" s="5" t="n">
        <v>638.31</v>
      </c>
      <c r="G14" s="5" t="n">
        <f aca="false">E14*F14</f>
        <v>5106.48</v>
      </c>
      <c r="H14" s="5" t="s">
        <v>340</v>
      </c>
      <c r="I14" s="5" t="s">
        <v>341</v>
      </c>
      <c r="J14" s="5" t="s">
        <v>311</v>
      </c>
      <c r="K14" s="5"/>
      <c r="L14" s="5" t="s">
        <v>154</v>
      </c>
    </row>
    <row r="15" customFormat="false" ht="15" hidden="false" customHeight="false" outlineLevel="0" collapsed="false">
      <c r="A15" s="5" t="s">
        <v>339</v>
      </c>
      <c r="B15" s="5" t="n">
        <v>2</v>
      </c>
      <c r="C15" s="5" t="s">
        <v>103</v>
      </c>
      <c r="D15" s="5" t="s">
        <v>176</v>
      </c>
      <c r="E15" s="5" t="n">
        <v>8</v>
      </c>
      <c r="F15" s="5" t="n">
        <v>10.05</v>
      </c>
      <c r="G15" s="5" t="n">
        <f aca="false">E15*F15</f>
        <v>80.4</v>
      </c>
      <c r="H15" s="5" t="s">
        <v>340</v>
      </c>
      <c r="I15" s="5" t="s">
        <v>342</v>
      </c>
      <c r="J15" s="5" t="s">
        <v>311</v>
      </c>
      <c r="K15" s="5"/>
      <c r="L15" s="5" t="s">
        <v>154</v>
      </c>
    </row>
    <row r="16" customFormat="false" ht="15" hidden="false" customHeight="false" outlineLevel="0" collapsed="false">
      <c r="A16" s="5" t="s">
        <v>343</v>
      </c>
      <c r="B16" s="5" t="n">
        <v>1</v>
      </c>
      <c r="C16" s="5" t="s">
        <v>103</v>
      </c>
      <c r="D16" s="5" t="s">
        <v>215</v>
      </c>
      <c r="E16" s="5" t="n">
        <v>2</v>
      </c>
      <c r="F16" s="5" t="n">
        <v>39.97</v>
      </c>
      <c r="G16" s="5" t="n">
        <f aca="false">E16*F16</f>
        <v>79.94</v>
      </c>
      <c r="H16" s="5" t="s">
        <v>344</v>
      </c>
      <c r="I16" s="5" t="s">
        <v>345</v>
      </c>
      <c r="J16" s="5" t="s">
        <v>306</v>
      </c>
      <c r="K16" s="5"/>
      <c r="L16" s="5" t="s">
        <v>154</v>
      </c>
    </row>
    <row r="17" customFormat="false" ht="15" hidden="false" customHeight="false" outlineLevel="0" collapsed="false">
      <c r="A17" s="5" t="s">
        <v>346</v>
      </c>
      <c r="B17" s="5" t="n">
        <v>1</v>
      </c>
      <c r="C17" s="5" t="s">
        <v>89</v>
      </c>
      <c r="D17" s="5" t="s">
        <v>247</v>
      </c>
      <c r="E17" s="5" t="n">
        <v>1</v>
      </c>
      <c r="F17" s="5" t="n">
        <v>40.1</v>
      </c>
      <c r="G17" s="5" t="n">
        <f aca="false">E17*F17</f>
        <v>40.1</v>
      </c>
      <c r="H17" s="5" t="s">
        <v>347</v>
      </c>
      <c r="I17" s="5" t="s">
        <v>348</v>
      </c>
      <c r="J17" s="5" t="s">
        <v>333</v>
      </c>
      <c r="K17" s="5" t="s">
        <v>349</v>
      </c>
      <c r="L17" s="5" t="s">
        <v>154</v>
      </c>
    </row>
    <row r="18" customFormat="false" ht="15" hidden="false" customHeight="false" outlineLevel="0" collapsed="false">
      <c r="A18" s="5" t="s">
        <v>350</v>
      </c>
      <c r="B18" s="5" t="n">
        <v>1</v>
      </c>
      <c r="C18" s="5" t="s">
        <v>75</v>
      </c>
      <c r="D18" s="5" t="s">
        <v>205</v>
      </c>
      <c r="E18" s="5" t="n">
        <v>2</v>
      </c>
      <c r="F18" s="5" t="n">
        <v>465.16</v>
      </c>
      <c r="G18" s="5" t="n">
        <f aca="false">E18*F18</f>
        <v>930.32</v>
      </c>
      <c r="H18" s="5" t="s">
        <v>351</v>
      </c>
      <c r="I18" s="5" t="s">
        <v>352</v>
      </c>
      <c r="J18" s="5" t="s">
        <v>322</v>
      </c>
      <c r="K18" s="5" t="s">
        <v>353</v>
      </c>
      <c r="L18" s="5" t="s">
        <v>154</v>
      </c>
    </row>
    <row r="19" customFormat="false" ht="15" hidden="false" customHeight="false" outlineLevel="0" collapsed="false">
      <c r="A19" s="5" t="s">
        <v>354</v>
      </c>
      <c r="B19" s="5" t="n">
        <v>1</v>
      </c>
      <c r="C19" s="5" t="s">
        <v>130</v>
      </c>
      <c r="D19" s="5" t="s">
        <v>267</v>
      </c>
      <c r="E19" s="5" t="n">
        <v>4</v>
      </c>
      <c r="F19" s="5" t="n">
        <v>184.08</v>
      </c>
      <c r="G19" s="5" t="n">
        <f aca="false">E19*F19</f>
        <v>736.32</v>
      </c>
      <c r="H19" s="5" t="s">
        <v>355</v>
      </c>
      <c r="I19" s="5" t="s">
        <v>356</v>
      </c>
      <c r="J19" s="5" t="s">
        <v>306</v>
      </c>
      <c r="K19" s="5"/>
      <c r="L19" s="5" t="s">
        <v>154</v>
      </c>
    </row>
    <row r="20" customFormat="false" ht="15" hidden="false" customHeight="false" outlineLevel="0" collapsed="false">
      <c r="A20" s="5" t="s">
        <v>357</v>
      </c>
      <c r="B20" s="5" t="n">
        <v>1</v>
      </c>
      <c r="C20" s="5" t="s">
        <v>67</v>
      </c>
      <c r="D20" s="5" t="s">
        <v>283</v>
      </c>
      <c r="E20" s="5" t="n">
        <v>2</v>
      </c>
      <c r="F20" s="5" t="n">
        <v>140.84</v>
      </c>
      <c r="G20" s="5" t="n">
        <f aca="false">E20*F20</f>
        <v>281.68</v>
      </c>
      <c r="H20" s="5" t="s">
        <v>358</v>
      </c>
      <c r="I20" s="5" t="s">
        <v>359</v>
      </c>
      <c r="J20" s="5" t="s">
        <v>360</v>
      </c>
      <c r="K20" s="5"/>
      <c r="L20" s="5" t="s">
        <v>154</v>
      </c>
    </row>
    <row r="21" customFormat="false" ht="15" hidden="false" customHeight="false" outlineLevel="0" collapsed="false">
      <c r="A21" s="5" t="s">
        <v>361</v>
      </c>
      <c r="B21" s="5" t="n">
        <v>1</v>
      </c>
      <c r="C21" s="5" t="s">
        <v>54</v>
      </c>
      <c r="D21" s="5" t="s">
        <v>265</v>
      </c>
      <c r="E21" s="5" t="n">
        <v>8</v>
      </c>
      <c r="F21" s="5" t="n">
        <v>526.58</v>
      </c>
      <c r="G21" s="5" t="n">
        <f aca="false">E21*F21</f>
        <v>4212.64</v>
      </c>
      <c r="H21" s="5" t="s">
        <v>362</v>
      </c>
      <c r="I21" s="5" t="s">
        <v>363</v>
      </c>
      <c r="J21" s="5" t="s">
        <v>311</v>
      </c>
      <c r="K21" s="5"/>
      <c r="L21" s="5" t="s">
        <v>154</v>
      </c>
    </row>
    <row r="22" customFormat="false" ht="15" hidden="false" customHeight="false" outlineLevel="0" collapsed="false">
      <c r="A22" s="6" t="s">
        <v>364</v>
      </c>
      <c r="B22" s="6" t="n">
        <v>1</v>
      </c>
      <c r="C22" s="6" t="s">
        <v>134</v>
      </c>
      <c r="D22" s="6" t="s">
        <v>285</v>
      </c>
      <c r="E22" s="6" t="n">
        <v>2</v>
      </c>
      <c r="F22" s="6" t="n">
        <v>287.44</v>
      </c>
      <c r="G22" s="6" t="n">
        <f aca="false">E22*F22</f>
        <v>574.88</v>
      </c>
      <c r="H22" s="6" t="s">
        <v>365</v>
      </c>
      <c r="I22" s="6" t="s">
        <v>366</v>
      </c>
      <c r="J22" s="6" t="s">
        <v>338</v>
      </c>
      <c r="K22" s="6"/>
      <c r="L22" s="6" t="s">
        <v>154</v>
      </c>
    </row>
    <row r="23" customFormat="false" ht="15" hidden="false" customHeight="false" outlineLevel="0" collapsed="false">
      <c r="A23" s="5" t="s">
        <v>367</v>
      </c>
      <c r="B23" s="5" t="n">
        <v>1</v>
      </c>
      <c r="C23" s="5" t="s">
        <v>134</v>
      </c>
      <c r="D23" s="5" t="s">
        <v>281</v>
      </c>
      <c r="E23" s="5" t="n">
        <v>1</v>
      </c>
      <c r="F23" s="5" t="n">
        <v>480.82</v>
      </c>
      <c r="G23" s="5" t="n">
        <f aca="false">E23*F23</f>
        <v>480.82</v>
      </c>
      <c r="H23" s="5" t="s">
        <v>368</v>
      </c>
      <c r="I23" s="5" t="s">
        <v>369</v>
      </c>
      <c r="J23" s="5" t="s">
        <v>311</v>
      </c>
      <c r="K23" s="5"/>
      <c r="L23" s="5" t="s">
        <v>154</v>
      </c>
    </row>
    <row r="24" customFormat="false" ht="15" hidden="false" customHeight="false" outlineLevel="0" collapsed="false">
      <c r="A24" s="5" t="s">
        <v>367</v>
      </c>
      <c r="B24" s="5" t="n">
        <v>2</v>
      </c>
      <c r="C24" s="5" t="s">
        <v>134</v>
      </c>
      <c r="D24" s="5" t="s">
        <v>219</v>
      </c>
      <c r="E24" s="5" t="n">
        <v>12</v>
      </c>
      <c r="F24" s="5" t="n">
        <v>630.72</v>
      </c>
      <c r="G24" s="5" t="n">
        <f aca="false">E24*F24</f>
        <v>7568.64</v>
      </c>
      <c r="H24" s="5" t="s">
        <v>368</v>
      </c>
      <c r="I24" s="5" t="s">
        <v>370</v>
      </c>
      <c r="J24" s="5" t="s">
        <v>311</v>
      </c>
      <c r="K24" s="5"/>
      <c r="L24" s="5" t="s">
        <v>154</v>
      </c>
    </row>
    <row r="25" customFormat="false" ht="15" hidden="false" customHeight="false" outlineLevel="0" collapsed="false">
      <c r="A25" s="5" t="s">
        <v>371</v>
      </c>
      <c r="B25" s="5" t="n">
        <v>1</v>
      </c>
      <c r="C25" s="5" t="s">
        <v>130</v>
      </c>
      <c r="D25" s="5" t="s">
        <v>217</v>
      </c>
      <c r="E25" s="5" t="n">
        <v>1</v>
      </c>
      <c r="F25" s="5" t="n">
        <v>314.93</v>
      </c>
      <c r="G25" s="5" t="n">
        <f aca="false">E25*F25</f>
        <v>314.93</v>
      </c>
      <c r="H25" s="5" t="s">
        <v>372</v>
      </c>
      <c r="I25" s="5" t="s">
        <v>373</v>
      </c>
      <c r="J25" s="5" t="s">
        <v>338</v>
      </c>
      <c r="K25" s="5"/>
      <c r="L25" s="5" t="s">
        <v>154</v>
      </c>
    </row>
    <row r="26" customFormat="false" ht="15" hidden="false" customHeight="false" outlineLevel="0" collapsed="false">
      <c r="A26" s="5" t="s">
        <v>374</v>
      </c>
      <c r="B26" s="5" t="n">
        <v>1</v>
      </c>
      <c r="C26" s="5" t="s">
        <v>108</v>
      </c>
      <c r="D26" s="5" t="s">
        <v>293</v>
      </c>
      <c r="E26" s="5" t="n">
        <v>10</v>
      </c>
      <c r="F26" s="5" t="n">
        <v>162.2</v>
      </c>
      <c r="G26" s="5" t="n">
        <f aca="false">E26*F26</f>
        <v>1622</v>
      </c>
      <c r="H26" s="5" t="s">
        <v>375</v>
      </c>
      <c r="I26" s="5" t="s">
        <v>376</v>
      </c>
      <c r="J26" s="5" t="s">
        <v>338</v>
      </c>
      <c r="K26" s="5"/>
      <c r="L26" s="5" t="s">
        <v>154</v>
      </c>
    </row>
    <row r="27" customFormat="false" ht="15" hidden="false" customHeight="false" outlineLevel="0" collapsed="false">
      <c r="A27" s="5" t="s">
        <v>377</v>
      </c>
      <c r="B27" s="5" t="n">
        <v>1</v>
      </c>
      <c r="C27" s="5" t="s">
        <v>100</v>
      </c>
      <c r="D27" s="5" t="s">
        <v>209</v>
      </c>
      <c r="E27" s="5" t="n">
        <v>20</v>
      </c>
      <c r="F27" s="5" t="n">
        <v>267.82</v>
      </c>
      <c r="G27" s="5" t="n">
        <f aca="false">E27*F27</f>
        <v>5356.4</v>
      </c>
      <c r="H27" s="5" t="s">
        <v>318</v>
      </c>
      <c r="I27" s="5" t="s">
        <v>307</v>
      </c>
      <c r="J27" s="5" t="s">
        <v>338</v>
      </c>
      <c r="K27" s="5"/>
      <c r="L27" s="5" t="s">
        <v>154</v>
      </c>
    </row>
    <row r="28" customFormat="false" ht="15" hidden="false" customHeight="false" outlineLevel="0" collapsed="false">
      <c r="A28" s="5" t="s">
        <v>378</v>
      </c>
      <c r="B28" s="5" t="n">
        <v>1</v>
      </c>
      <c r="C28" s="5" t="s">
        <v>103</v>
      </c>
      <c r="D28" s="5" t="s">
        <v>205</v>
      </c>
      <c r="E28" s="5" t="n">
        <v>10</v>
      </c>
      <c r="F28" s="5" t="n">
        <v>465.16</v>
      </c>
      <c r="G28" s="5" t="n">
        <f aca="false">E28*F28</f>
        <v>4651.6</v>
      </c>
      <c r="H28" s="5" t="s">
        <v>365</v>
      </c>
      <c r="I28" s="5" t="s">
        <v>379</v>
      </c>
      <c r="J28" s="5" t="s">
        <v>333</v>
      </c>
      <c r="K28" s="5" t="s">
        <v>380</v>
      </c>
      <c r="L28" s="5" t="s">
        <v>154</v>
      </c>
    </row>
    <row r="29" customFormat="false" ht="15" hidden="false" customHeight="false" outlineLevel="0" collapsed="false">
      <c r="A29" s="5" t="s">
        <v>381</v>
      </c>
      <c r="B29" s="5" t="n">
        <v>1</v>
      </c>
      <c r="C29" s="5" t="s">
        <v>89</v>
      </c>
      <c r="D29" s="5" t="s">
        <v>291</v>
      </c>
      <c r="E29" s="5" t="n">
        <v>20</v>
      </c>
      <c r="F29" s="5" t="n">
        <v>568.04</v>
      </c>
      <c r="G29" s="5" t="n">
        <f aca="false">E29*F29</f>
        <v>11360.8</v>
      </c>
      <c r="H29" s="5" t="s">
        <v>376</v>
      </c>
      <c r="I29" s="5" t="s">
        <v>382</v>
      </c>
      <c r="J29" s="5" t="s">
        <v>322</v>
      </c>
      <c r="K29" s="5" t="s">
        <v>383</v>
      </c>
      <c r="L29" s="5" t="s">
        <v>154</v>
      </c>
    </row>
    <row r="30" customFormat="false" ht="15" hidden="false" customHeight="false" outlineLevel="0" collapsed="false">
      <c r="A30" s="5" t="s">
        <v>384</v>
      </c>
      <c r="B30" s="5" t="n">
        <v>1</v>
      </c>
      <c r="C30" s="5" t="s">
        <v>115</v>
      </c>
      <c r="D30" s="5" t="s">
        <v>261</v>
      </c>
      <c r="E30" s="5" t="n">
        <v>10</v>
      </c>
      <c r="F30" s="5" t="n">
        <v>431.38</v>
      </c>
      <c r="G30" s="5" t="n">
        <f aca="false">E30*F30</f>
        <v>4313.8</v>
      </c>
      <c r="H30" s="5" t="s">
        <v>385</v>
      </c>
      <c r="I30" s="5" t="s">
        <v>358</v>
      </c>
      <c r="J30" s="5" t="s">
        <v>322</v>
      </c>
      <c r="K30" s="5" t="s">
        <v>386</v>
      </c>
      <c r="L30" s="5" t="s">
        <v>154</v>
      </c>
    </row>
    <row r="31" customFormat="false" ht="15" hidden="false" customHeight="false" outlineLevel="0" collapsed="false">
      <c r="A31" s="5" t="s">
        <v>387</v>
      </c>
      <c r="B31" s="5" t="n">
        <v>1</v>
      </c>
      <c r="C31" s="5" t="s">
        <v>33</v>
      </c>
      <c r="D31" s="5" t="s">
        <v>267</v>
      </c>
      <c r="E31" s="5" t="n">
        <v>2</v>
      </c>
      <c r="F31" s="5" t="n">
        <v>184.08</v>
      </c>
      <c r="G31" s="5" t="n">
        <f aca="false">E31*F31</f>
        <v>368.16</v>
      </c>
      <c r="H31" s="5" t="s">
        <v>388</v>
      </c>
      <c r="I31" s="5" t="s">
        <v>389</v>
      </c>
      <c r="J31" s="5" t="s">
        <v>306</v>
      </c>
      <c r="K31" s="5"/>
      <c r="L31" s="5" t="s">
        <v>154</v>
      </c>
    </row>
    <row r="32" customFormat="false" ht="15" hidden="false" customHeight="false" outlineLevel="0" collapsed="false">
      <c r="A32" s="6" t="s">
        <v>390</v>
      </c>
      <c r="B32" s="6" t="n">
        <v>1</v>
      </c>
      <c r="C32" s="6" t="s">
        <v>130</v>
      </c>
      <c r="D32" s="6" t="s">
        <v>245</v>
      </c>
      <c r="E32" s="6" t="n">
        <v>20</v>
      </c>
      <c r="F32" s="6" t="n">
        <v>461.53</v>
      </c>
      <c r="G32" s="6" t="n">
        <f aca="false">E32*F32</f>
        <v>9230.6</v>
      </c>
      <c r="H32" s="6" t="s">
        <v>391</v>
      </c>
      <c r="I32" s="6" t="s">
        <v>392</v>
      </c>
      <c r="J32" s="6" t="s">
        <v>311</v>
      </c>
      <c r="K32" s="6"/>
      <c r="L32" s="6" t="s">
        <v>154</v>
      </c>
    </row>
    <row r="33" customFormat="false" ht="15" hidden="false" customHeight="false" outlineLevel="0" collapsed="false">
      <c r="A33" s="5" t="s">
        <v>393</v>
      </c>
      <c r="B33" s="5" t="n">
        <v>1</v>
      </c>
      <c r="C33" s="5" t="s">
        <v>138</v>
      </c>
      <c r="D33" s="5" t="s">
        <v>236</v>
      </c>
      <c r="E33" s="5" t="n">
        <v>4</v>
      </c>
      <c r="F33" s="5" t="n">
        <v>637.53</v>
      </c>
      <c r="G33" s="5" t="n">
        <f aca="false">E33*F33</f>
        <v>2550.12</v>
      </c>
      <c r="H33" s="5" t="s">
        <v>394</v>
      </c>
      <c r="I33" s="5" t="s">
        <v>395</v>
      </c>
      <c r="J33" s="5" t="s">
        <v>338</v>
      </c>
      <c r="K33" s="5"/>
      <c r="L33" s="5" t="s">
        <v>154</v>
      </c>
    </row>
    <row r="34" customFormat="false" ht="15" hidden="false" customHeight="false" outlineLevel="0" collapsed="false">
      <c r="A34" s="5" t="s">
        <v>396</v>
      </c>
      <c r="B34" s="5" t="n">
        <v>1</v>
      </c>
      <c r="C34" s="5" t="s">
        <v>80</v>
      </c>
      <c r="D34" s="5" t="s">
        <v>209</v>
      </c>
      <c r="E34" s="5" t="n">
        <v>20</v>
      </c>
      <c r="F34" s="5" t="n">
        <v>267.82</v>
      </c>
      <c r="G34" s="5" t="n">
        <f aca="false">E34*F34</f>
        <v>5356.4</v>
      </c>
      <c r="H34" s="5" t="s">
        <v>397</v>
      </c>
      <c r="I34" s="5" t="s">
        <v>398</v>
      </c>
      <c r="J34" s="5" t="s">
        <v>333</v>
      </c>
      <c r="K34" s="5" t="s">
        <v>399</v>
      </c>
      <c r="L34" s="5" t="s">
        <v>154</v>
      </c>
    </row>
    <row r="35" customFormat="false" ht="15" hidden="false" customHeight="false" outlineLevel="0" collapsed="false">
      <c r="A35" s="5" t="s">
        <v>400</v>
      </c>
      <c r="B35" s="5" t="n">
        <v>1</v>
      </c>
      <c r="C35" s="5" t="s">
        <v>123</v>
      </c>
      <c r="D35" s="5" t="s">
        <v>197</v>
      </c>
      <c r="E35" s="5" t="n">
        <v>4</v>
      </c>
      <c r="F35" s="5" t="n">
        <v>150.01</v>
      </c>
      <c r="G35" s="5" t="n">
        <f aca="false">E35*F35</f>
        <v>600.04</v>
      </c>
      <c r="H35" s="5" t="s">
        <v>401</v>
      </c>
      <c r="I35" s="5" t="s">
        <v>402</v>
      </c>
      <c r="J35" s="5" t="s">
        <v>360</v>
      </c>
      <c r="K35" s="5"/>
      <c r="L35" s="5" t="s">
        <v>154</v>
      </c>
    </row>
    <row r="36" customFormat="false" ht="15" hidden="false" customHeight="false" outlineLevel="0" collapsed="false">
      <c r="A36" s="5" t="s">
        <v>403</v>
      </c>
      <c r="B36" s="5" t="n">
        <v>1</v>
      </c>
      <c r="C36" s="5" t="s">
        <v>93</v>
      </c>
      <c r="D36" s="5" t="s">
        <v>247</v>
      </c>
      <c r="E36" s="5" t="n">
        <v>2</v>
      </c>
      <c r="F36" s="5" t="n">
        <v>40.1</v>
      </c>
      <c r="G36" s="5" t="n">
        <f aca="false">E36*F36</f>
        <v>80.2</v>
      </c>
      <c r="H36" s="5" t="s">
        <v>404</v>
      </c>
      <c r="I36" s="5" t="s">
        <v>405</v>
      </c>
      <c r="J36" s="5" t="s">
        <v>338</v>
      </c>
      <c r="K36" s="5"/>
      <c r="L36" s="5" t="s">
        <v>154</v>
      </c>
    </row>
    <row r="37" customFormat="false" ht="15" hidden="false" customHeight="false" outlineLevel="0" collapsed="false">
      <c r="A37" s="5" t="s">
        <v>406</v>
      </c>
      <c r="B37" s="5" t="n">
        <v>1</v>
      </c>
      <c r="C37" s="5" t="s">
        <v>42</v>
      </c>
      <c r="D37" s="5" t="s">
        <v>251</v>
      </c>
      <c r="E37" s="5" t="n">
        <v>4</v>
      </c>
      <c r="F37" s="5" t="n">
        <v>278.3</v>
      </c>
      <c r="G37" s="5" t="n">
        <f aca="false">E37*F37</f>
        <v>1113.2</v>
      </c>
      <c r="H37" s="5" t="s">
        <v>407</v>
      </c>
      <c r="I37" s="5" t="s">
        <v>391</v>
      </c>
      <c r="J37" s="5" t="s">
        <v>333</v>
      </c>
      <c r="K37" s="5" t="s">
        <v>408</v>
      </c>
      <c r="L37" s="5" t="s">
        <v>154</v>
      </c>
    </row>
    <row r="38" customFormat="false" ht="15" hidden="false" customHeight="false" outlineLevel="0" collapsed="false">
      <c r="A38" s="5" t="s">
        <v>406</v>
      </c>
      <c r="B38" s="5" t="n">
        <v>2</v>
      </c>
      <c r="C38" s="5" t="s">
        <v>42</v>
      </c>
      <c r="D38" s="5" t="s">
        <v>238</v>
      </c>
      <c r="E38" s="5" t="n">
        <v>10</v>
      </c>
      <c r="F38" s="5" t="n">
        <v>564.71</v>
      </c>
      <c r="G38" s="5" t="n">
        <f aca="false">E38*F38</f>
        <v>5647.1</v>
      </c>
      <c r="H38" s="5" t="s">
        <v>407</v>
      </c>
      <c r="I38" s="5" t="s">
        <v>409</v>
      </c>
      <c r="J38" s="5" t="s">
        <v>333</v>
      </c>
      <c r="K38" s="5" t="s">
        <v>408</v>
      </c>
      <c r="L38" s="5" t="s">
        <v>154</v>
      </c>
    </row>
    <row r="39" customFormat="false" ht="15" hidden="false" customHeight="false" outlineLevel="0" collapsed="false">
      <c r="A39" s="5" t="s">
        <v>406</v>
      </c>
      <c r="B39" s="5" t="n">
        <v>3</v>
      </c>
      <c r="C39" s="5" t="s">
        <v>42</v>
      </c>
      <c r="D39" s="5" t="s">
        <v>195</v>
      </c>
      <c r="E39" s="5" t="n">
        <v>1</v>
      </c>
      <c r="F39" s="5" t="n">
        <v>636.93</v>
      </c>
      <c r="G39" s="5" t="n">
        <f aca="false">E39*F39</f>
        <v>636.93</v>
      </c>
      <c r="H39" s="5" t="s">
        <v>407</v>
      </c>
      <c r="I39" s="5" t="s">
        <v>316</v>
      </c>
      <c r="J39" s="5" t="s">
        <v>333</v>
      </c>
      <c r="K39" s="5" t="s">
        <v>408</v>
      </c>
      <c r="L39" s="5" t="s">
        <v>154</v>
      </c>
    </row>
    <row r="40" customFormat="false" ht="15" hidden="false" customHeight="false" outlineLevel="0" collapsed="false">
      <c r="A40" s="5" t="s">
        <v>410</v>
      </c>
      <c r="B40" s="5" t="n">
        <v>1</v>
      </c>
      <c r="C40" s="5" t="s">
        <v>108</v>
      </c>
      <c r="D40" s="5" t="s">
        <v>241</v>
      </c>
      <c r="E40" s="5" t="n">
        <v>1</v>
      </c>
      <c r="F40" s="5" t="n">
        <v>199.19</v>
      </c>
      <c r="G40" s="5" t="n">
        <f aca="false">E40*F40</f>
        <v>199.19</v>
      </c>
      <c r="H40" s="5" t="s">
        <v>411</v>
      </c>
      <c r="I40" s="5" t="s">
        <v>412</v>
      </c>
      <c r="J40" s="5" t="s">
        <v>306</v>
      </c>
      <c r="K40" s="5"/>
      <c r="L40" s="5" t="s">
        <v>154</v>
      </c>
    </row>
    <row r="41" customFormat="false" ht="15" hidden="false" customHeight="false" outlineLevel="0" collapsed="false">
      <c r="A41" s="5" t="s">
        <v>413</v>
      </c>
      <c r="B41" s="5" t="n">
        <v>1</v>
      </c>
      <c r="C41" s="5" t="s">
        <v>60</v>
      </c>
      <c r="D41" s="5" t="s">
        <v>232</v>
      </c>
      <c r="E41" s="5" t="n">
        <v>10</v>
      </c>
      <c r="F41" s="5" t="n">
        <v>431.27</v>
      </c>
      <c r="G41" s="5" t="n">
        <f aca="false">E41*F41</f>
        <v>4312.7</v>
      </c>
      <c r="H41" s="5" t="s">
        <v>414</v>
      </c>
      <c r="I41" s="5" t="s">
        <v>415</v>
      </c>
      <c r="J41" s="5" t="s">
        <v>333</v>
      </c>
      <c r="K41" s="5" t="s">
        <v>416</v>
      </c>
      <c r="L41" s="5" t="s">
        <v>154</v>
      </c>
    </row>
    <row r="42" customFormat="false" ht="15" hidden="false" customHeight="false" outlineLevel="0" collapsed="false">
      <c r="A42" s="5" t="s">
        <v>417</v>
      </c>
      <c r="B42" s="5" t="n">
        <v>1</v>
      </c>
      <c r="C42" s="5" t="s">
        <v>119</v>
      </c>
      <c r="D42" s="5" t="s">
        <v>257</v>
      </c>
      <c r="E42" s="5" t="n">
        <v>1</v>
      </c>
      <c r="F42" s="5" t="n">
        <v>501.03</v>
      </c>
      <c r="G42" s="5" t="n">
        <f aca="false">E42*F42</f>
        <v>501.03</v>
      </c>
      <c r="H42" s="5" t="s">
        <v>418</v>
      </c>
      <c r="I42" s="5" t="s">
        <v>382</v>
      </c>
      <c r="J42" s="5" t="s">
        <v>311</v>
      </c>
      <c r="K42" s="5"/>
      <c r="L42" s="5" t="s">
        <v>154</v>
      </c>
    </row>
    <row r="43" customFormat="false" ht="15" hidden="false" customHeight="false" outlineLevel="0" collapsed="false">
      <c r="A43" s="5" t="s">
        <v>417</v>
      </c>
      <c r="B43" s="5" t="n">
        <v>2</v>
      </c>
      <c r="C43" s="5" t="s">
        <v>119</v>
      </c>
      <c r="D43" s="5" t="s">
        <v>275</v>
      </c>
      <c r="E43" s="5" t="n">
        <v>2</v>
      </c>
      <c r="F43" s="5" t="n">
        <v>348.3</v>
      </c>
      <c r="G43" s="5" t="n">
        <f aca="false">E43*F43</f>
        <v>696.6</v>
      </c>
      <c r="H43" s="5" t="s">
        <v>418</v>
      </c>
      <c r="I43" s="5" t="s">
        <v>419</v>
      </c>
      <c r="J43" s="5" t="s">
        <v>311</v>
      </c>
      <c r="K43" s="5"/>
      <c r="L43" s="5" t="s">
        <v>154</v>
      </c>
    </row>
    <row r="44" customFormat="false" ht="15" hidden="false" customHeight="false" outlineLevel="0" collapsed="false">
      <c r="A44" s="5" t="s">
        <v>417</v>
      </c>
      <c r="B44" s="5" t="n">
        <v>3</v>
      </c>
      <c r="C44" s="5" t="s">
        <v>119</v>
      </c>
      <c r="D44" s="5" t="s">
        <v>207</v>
      </c>
      <c r="E44" s="5" t="n">
        <v>1</v>
      </c>
      <c r="F44" s="5" t="n">
        <v>265.26</v>
      </c>
      <c r="G44" s="5" t="n">
        <f aca="false">E44*F44</f>
        <v>265.26</v>
      </c>
      <c r="H44" s="5" t="s">
        <v>418</v>
      </c>
      <c r="I44" s="5" t="s">
        <v>420</v>
      </c>
      <c r="J44" s="5" t="s">
        <v>311</v>
      </c>
      <c r="K44" s="5"/>
      <c r="L44" s="5" t="s">
        <v>154</v>
      </c>
    </row>
    <row r="45" customFormat="false" ht="15" hidden="false" customHeight="false" outlineLevel="0" collapsed="false">
      <c r="A45" s="5" t="s">
        <v>421</v>
      </c>
      <c r="B45" s="5" t="n">
        <v>1</v>
      </c>
      <c r="C45" s="5" t="s">
        <v>75</v>
      </c>
      <c r="D45" s="5" t="s">
        <v>201</v>
      </c>
      <c r="E45" s="5" t="n">
        <v>4</v>
      </c>
      <c r="F45" s="5" t="n">
        <v>332.95</v>
      </c>
      <c r="G45" s="5" t="n">
        <f aca="false">E45*F45</f>
        <v>1331.8</v>
      </c>
      <c r="H45" s="5" t="s">
        <v>422</v>
      </c>
      <c r="I45" s="5" t="s">
        <v>423</v>
      </c>
      <c r="J45" s="5" t="s">
        <v>322</v>
      </c>
      <c r="K45" s="5" t="s">
        <v>424</v>
      </c>
      <c r="L45" s="5" t="s">
        <v>154</v>
      </c>
    </row>
    <row r="46" customFormat="false" ht="15" hidden="false" customHeight="false" outlineLevel="0" collapsed="false">
      <c r="A46" s="5" t="s">
        <v>425</v>
      </c>
      <c r="B46" s="5" t="n">
        <v>1</v>
      </c>
      <c r="C46" s="5" t="s">
        <v>134</v>
      </c>
      <c r="D46" s="5" t="s">
        <v>201</v>
      </c>
      <c r="E46" s="5" t="n">
        <v>4</v>
      </c>
      <c r="F46" s="5" t="n">
        <v>332.95</v>
      </c>
      <c r="G46" s="5" t="n">
        <f aca="false">E46*F46</f>
        <v>1331.8</v>
      </c>
      <c r="H46" s="5" t="s">
        <v>426</v>
      </c>
      <c r="I46" s="5" t="s">
        <v>427</v>
      </c>
      <c r="J46" s="5" t="s">
        <v>338</v>
      </c>
      <c r="K46" s="5"/>
      <c r="L46" s="5" t="s">
        <v>154</v>
      </c>
    </row>
    <row r="47" customFormat="false" ht="15" hidden="false" customHeight="false" outlineLevel="0" collapsed="false">
      <c r="A47" s="5" t="s">
        <v>425</v>
      </c>
      <c r="B47" s="5" t="n">
        <v>2</v>
      </c>
      <c r="C47" s="5" t="s">
        <v>134</v>
      </c>
      <c r="D47" s="5" t="s">
        <v>230</v>
      </c>
      <c r="E47" s="5" t="n">
        <v>1</v>
      </c>
      <c r="F47" s="5" t="n">
        <v>272.95</v>
      </c>
      <c r="G47" s="5" t="n">
        <f aca="false">E47*F47</f>
        <v>272.95</v>
      </c>
      <c r="H47" s="5" t="s">
        <v>426</v>
      </c>
      <c r="I47" s="5" t="s">
        <v>428</v>
      </c>
      <c r="J47" s="5" t="s">
        <v>338</v>
      </c>
      <c r="K47" s="5"/>
      <c r="L47" s="5" t="s">
        <v>154</v>
      </c>
    </row>
    <row r="48" customFormat="false" ht="15" hidden="false" customHeight="false" outlineLevel="0" collapsed="false">
      <c r="A48" s="5" t="s">
        <v>429</v>
      </c>
      <c r="B48" s="5" t="n">
        <v>1</v>
      </c>
      <c r="C48" s="5" t="s">
        <v>126</v>
      </c>
      <c r="D48" s="5" t="s">
        <v>190</v>
      </c>
      <c r="E48" s="5" t="n">
        <v>1</v>
      </c>
      <c r="F48" s="5" t="n">
        <v>344.67</v>
      </c>
      <c r="G48" s="5" t="n">
        <f aca="false">E48*F48</f>
        <v>344.67</v>
      </c>
      <c r="H48" s="5" t="s">
        <v>420</v>
      </c>
      <c r="I48" s="5" t="s">
        <v>363</v>
      </c>
      <c r="J48" s="5" t="s">
        <v>360</v>
      </c>
      <c r="K48" s="5"/>
      <c r="L48" s="5" t="s">
        <v>154</v>
      </c>
    </row>
    <row r="49" customFormat="false" ht="15" hidden="false" customHeight="false" outlineLevel="0" collapsed="false">
      <c r="A49" s="5" t="s">
        <v>430</v>
      </c>
      <c r="B49" s="5" t="n">
        <v>1</v>
      </c>
      <c r="C49" s="5" t="s">
        <v>67</v>
      </c>
      <c r="D49" s="5" t="s">
        <v>283</v>
      </c>
      <c r="E49" s="5" t="n">
        <v>20</v>
      </c>
      <c r="F49" s="5" t="n">
        <v>140.84</v>
      </c>
      <c r="G49" s="5" t="n">
        <f aca="false">E49*F49</f>
        <v>2816.8</v>
      </c>
      <c r="H49" s="5" t="s">
        <v>431</v>
      </c>
      <c r="I49" s="5" t="s">
        <v>432</v>
      </c>
      <c r="J49" s="5" t="s">
        <v>338</v>
      </c>
      <c r="K49" s="5"/>
      <c r="L49" s="5" t="s">
        <v>154</v>
      </c>
    </row>
    <row r="50" customFormat="false" ht="15" hidden="false" customHeight="false" outlineLevel="0" collapsed="false">
      <c r="A50" s="5" t="s">
        <v>430</v>
      </c>
      <c r="B50" s="5" t="n">
        <v>2</v>
      </c>
      <c r="C50" s="5" t="s">
        <v>67</v>
      </c>
      <c r="D50" s="5" t="s">
        <v>232</v>
      </c>
      <c r="E50" s="5" t="n">
        <v>1</v>
      </c>
      <c r="F50" s="5" t="n">
        <v>431.27</v>
      </c>
      <c r="G50" s="5" t="n">
        <f aca="false">E50*F50</f>
        <v>431.27</v>
      </c>
      <c r="H50" s="5" t="s">
        <v>431</v>
      </c>
      <c r="I50" s="5" t="s">
        <v>318</v>
      </c>
      <c r="J50" s="5" t="s">
        <v>338</v>
      </c>
      <c r="K50" s="5"/>
      <c r="L50" s="5" t="s">
        <v>154</v>
      </c>
    </row>
    <row r="51" customFormat="false" ht="15" hidden="false" customHeight="false" outlineLevel="0" collapsed="false">
      <c r="A51" s="5" t="s">
        <v>433</v>
      </c>
      <c r="B51" s="5" t="n">
        <v>1</v>
      </c>
      <c r="C51" s="5" t="s">
        <v>134</v>
      </c>
      <c r="D51" s="5" t="s">
        <v>291</v>
      </c>
      <c r="E51" s="5" t="n">
        <v>8</v>
      </c>
      <c r="F51" s="5" t="n">
        <v>568.04</v>
      </c>
      <c r="G51" s="5" t="n">
        <f aca="false">E51*F51</f>
        <v>4544.32</v>
      </c>
      <c r="H51" s="5" t="s">
        <v>392</v>
      </c>
      <c r="I51" s="5" t="s">
        <v>434</v>
      </c>
      <c r="J51" s="5" t="s">
        <v>333</v>
      </c>
      <c r="K51" s="5" t="s">
        <v>435</v>
      </c>
      <c r="L51" s="5" t="s">
        <v>154</v>
      </c>
    </row>
    <row r="52" customFormat="false" ht="15" hidden="false" customHeight="false" outlineLevel="0" collapsed="false">
      <c r="A52" s="5" t="s">
        <v>436</v>
      </c>
      <c r="B52" s="5" t="n">
        <v>1</v>
      </c>
      <c r="C52" s="5" t="s">
        <v>123</v>
      </c>
      <c r="D52" s="5" t="s">
        <v>275</v>
      </c>
      <c r="E52" s="5" t="n">
        <v>2</v>
      </c>
      <c r="F52" s="5" t="n">
        <v>348.3</v>
      </c>
      <c r="G52" s="5" t="n">
        <f aca="false">E52*F52</f>
        <v>696.6</v>
      </c>
      <c r="H52" s="5" t="s">
        <v>437</v>
      </c>
      <c r="I52" s="5" t="s">
        <v>404</v>
      </c>
      <c r="J52" s="5" t="s">
        <v>322</v>
      </c>
      <c r="K52" s="5" t="s">
        <v>438</v>
      </c>
      <c r="L52" s="5" t="s">
        <v>154</v>
      </c>
    </row>
    <row r="53" customFormat="false" ht="15" hidden="false" customHeight="false" outlineLevel="0" collapsed="false">
      <c r="A53" s="5" t="s">
        <v>439</v>
      </c>
      <c r="B53" s="5" t="n">
        <v>1</v>
      </c>
      <c r="C53" s="5" t="s">
        <v>112</v>
      </c>
      <c r="D53" s="5" t="s">
        <v>238</v>
      </c>
      <c r="E53" s="5" t="n">
        <v>5</v>
      </c>
      <c r="F53" s="5" t="n">
        <v>564.71</v>
      </c>
      <c r="G53" s="5" t="n">
        <f aca="false">E53*F53</f>
        <v>2823.55</v>
      </c>
      <c r="H53" s="5" t="s">
        <v>440</v>
      </c>
      <c r="I53" s="5" t="s">
        <v>441</v>
      </c>
      <c r="J53" s="5" t="s">
        <v>322</v>
      </c>
      <c r="K53" s="5" t="s">
        <v>442</v>
      </c>
      <c r="L53" s="5" t="s">
        <v>154</v>
      </c>
    </row>
    <row r="54" customFormat="false" ht="15" hidden="false" customHeight="false" outlineLevel="0" collapsed="false">
      <c r="A54" s="5" t="s">
        <v>443</v>
      </c>
      <c r="B54" s="5" t="n">
        <v>1</v>
      </c>
      <c r="C54" s="5" t="s">
        <v>89</v>
      </c>
      <c r="D54" s="5" t="s">
        <v>193</v>
      </c>
      <c r="E54" s="5" t="n">
        <v>5</v>
      </c>
      <c r="F54" s="5" t="n">
        <v>175.52</v>
      </c>
      <c r="G54" s="5" t="n">
        <f aca="false">E54*F54</f>
        <v>877.6</v>
      </c>
      <c r="H54" s="5" t="s">
        <v>444</v>
      </c>
      <c r="I54" s="5" t="s">
        <v>445</v>
      </c>
      <c r="J54" s="5" t="s">
        <v>360</v>
      </c>
      <c r="K54" s="5"/>
      <c r="L54" s="5" t="s">
        <v>154</v>
      </c>
    </row>
    <row r="55" customFormat="false" ht="15" hidden="false" customHeight="false" outlineLevel="0" collapsed="false">
      <c r="A55" s="5" t="s">
        <v>446</v>
      </c>
      <c r="B55" s="5" t="n">
        <v>1</v>
      </c>
      <c r="C55" s="5" t="s">
        <v>134</v>
      </c>
      <c r="D55" s="5" t="s">
        <v>283</v>
      </c>
      <c r="E55" s="5" t="n">
        <v>12</v>
      </c>
      <c r="F55" s="5" t="n">
        <v>140.84</v>
      </c>
      <c r="G55" s="5" t="n">
        <f aca="false">E55*F55</f>
        <v>1690.08</v>
      </c>
      <c r="H55" s="5" t="s">
        <v>369</v>
      </c>
      <c r="I55" s="5" t="s">
        <v>447</v>
      </c>
      <c r="J55" s="5" t="s">
        <v>306</v>
      </c>
      <c r="K55" s="5"/>
      <c r="L55" s="5" t="s">
        <v>154</v>
      </c>
    </row>
    <row r="56" customFormat="false" ht="15" hidden="false" customHeight="false" outlineLevel="0" collapsed="false">
      <c r="A56" s="5" t="s">
        <v>448</v>
      </c>
      <c r="B56" s="5" t="n">
        <v>1</v>
      </c>
      <c r="C56" s="5" t="s">
        <v>103</v>
      </c>
      <c r="D56" s="5" t="s">
        <v>197</v>
      </c>
      <c r="E56" s="5" t="n">
        <v>12</v>
      </c>
      <c r="F56" s="5" t="n">
        <v>150.01</v>
      </c>
      <c r="G56" s="5" t="n">
        <f aca="false">E56*F56</f>
        <v>1800.12</v>
      </c>
      <c r="H56" s="5" t="s">
        <v>321</v>
      </c>
      <c r="I56" s="5" t="s">
        <v>385</v>
      </c>
      <c r="J56" s="5" t="s">
        <v>333</v>
      </c>
      <c r="K56" s="5" t="s">
        <v>449</v>
      </c>
      <c r="L56" s="5" t="s">
        <v>154</v>
      </c>
    </row>
    <row r="57" customFormat="false" ht="15" hidden="false" customHeight="false" outlineLevel="0" collapsed="false">
      <c r="A57" s="5" t="s">
        <v>450</v>
      </c>
      <c r="B57" s="5" t="n">
        <v>1</v>
      </c>
      <c r="C57" s="5" t="s">
        <v>123</v>
      </c>
      <c r="D57" s="5" t="s">
        <v>275</v>
      </c>
      <c r="E57" s="5" t="n">
        <v>1</v>
      </c>
      <c r="F57" s="5" t="n">
        <v>348.3</v>
      </c>
      <c r="G57" s="5" t="n">
        <f aca="false">E57*F57</f>
        <v>348.3</v>
      </c>
      <c r="H57" s="5" t="s">
        <v>451</v>
      </c>
      <c r="I57" s="5" t="s">
        <v>313</v>
      </c>
      <c r="J57" s="5" t="s">
        <v>306</v>
      </c>
      <c r="K57" s="5"/>
      <c r="L57" s="5" t="s">
        <v>154</v>
      </c>
    </row>
    <row r="58" customFormat="false" ht="15" hidden="false" customHeight="false" outlineLevel="0" collapsed="false">
      <c r="A58" s="5" t="s">
        <v>450</v>
      </c>
      <c r="B58" s="5" t="n">
        <v>2</v>
      </c>
      <c r="C58" s="5" t="s">
        <v>123</v>
      </c>
      <c r="D58" s="5" t="s">
        <v>209</v>
      </c>
      <c r="E58" s="5" t="n">
        <v>12</v>
      </c>
      <c r="F58" s="5" t="n">
        <v>267.82</v>
      </c>
      <c r="G58" s="5" t="n">
        <f aca="false">E58*F58</f>
        <v>3213.84</v>
      </c>
      <c r="H58" s="5" t="s">
        <v>451</v>
      </c>
      <c r="I58" s="5" t="s">
        <v>365</v>
      </c>
      <c r="J58" s="5" t="s">
        <v>306</v>
      </c>
      <c r="K58" s="5"/>
      <c r="L58" s="5" t="s">
        <v>154</v>
      </c>
    </row>
    <row r="59" customFormat="false" ht="15" hidden="false" customHeight="false" outlineLevel="0" collapsed="false">
      <c r="A59" s="5" t="s">
        <v>452</v>
      </c>
      <c r="B59" s="5" t="n">
        <v>1</v>
      </c>
      <c r="C59" s="5" t="s">
        <v>85</v>
      </c>
      <c r="D59" s="5" t="s">
        <v>228</v>
      </c>
      <c r="E59" s="5" t="n">
        <v>1</v>
      </c>
      <c r="F59" s="5" t="n">
        <v>603.09</v>
      </c>
      <c r="G59" s="5" t="n">
        <f aca="false">E59*F59</f>
        <v>603.09</v>
      </c>
      <c r="H59" s="5" t="s">
        <v>453</v>
      </c>
      <c r="I59" s="5" t="s">
        <v>454</v>
      </c>
      <c r="J59" s="5" t="s">
        <v>322</v>
      </c>
      <c r="K59" s="5" t="s">
        <v>455</v>
      </c>
      <c r="L59" s="5" t="s">
        <v>154</v>
      </c>
    </row>
    <row r="60" customFormat="false" ht="15" hidden="false" customHeight="false" outlineLevel="0" collapsed="false">
      <c r="A60" s="5" t="s">
        <v>456</v>
      </c>
      <c r="B60" s="5" t="n">
        <v>1</v>
      </c>
      <c r="C60" s="5" t="s">
        <v>54</v>
      </c>
      <c r="D60" s="5" t="s">
        <v>285</v>
      </c>
      <c r="E60" s="5" t="n">
        <v>2</v>
      </c>
      <c r="F60" s="5" t="n">
        <v>287.44</v>
      </c>
      <c r="G60" s="5" t="n">
        <f aca="false">E60*F60</f>
        <v>574.88</v>
      </c>
      <c r="H60" s="5" t="s">
        <v>457</v>
      </c>
      <c r="I60" s="5" t="s">
        <v>412</v>
      </c>
      <c r="J60" s="5" t="s">
        <v>338</v>
      </c>
      <c r="K60" s="5"/>
      <c r="L60" s="5" t="s">
        <v>154</v>
      </c>
    </row>
    <row r="61" customFormat="false" ht="15" hidden="false" customHeight="false" outlineLevel="0" collapsed="false">
      <c r="A61" s="5" t="s">
        <v>458</v>
      </c>
      <c r="B61" s="5" t="n">
        <v>1</v>
      </c>
      <c r="C61" s="5" t="s">
        <v>134</v>
      </c>
      <c r="D61" s="5" t="s">
        <v>285</v>
      </c>
      <c r="E61" s="5" t="n">
        <v>10</v>
      </c>
      <c r="F61" s="5" t="n">
        <v>287.44</v>
      </c>
      <c r="G61" s="5" t="n">
        <f aca="false">E61*F61</f>
        <v>2874.4</v>
      </c>
      <c r="H61" s="5" t="s">
        <v>459</v>
      </c>
      <c r="I61" s="5" t="s">
        <v>397</v>
      </c>
      <c r="J61" s="5" t="s">
        <v>306</v>
      </c>
      <c r="K61" s="5"/>
      <c r="L61" s="5" t="s">
        <v>154</v>
      </c>
    </row>
    <row r="62" customFormat="false" ht="15" hidden="false" customHeight="false" outlineLevel="0" collapsed="false">
      <c r="A62" s="5" t="s">
        <v>460</v>
      </c>
      <c r="B62" s="5" t="n">
        <v>1</v>
      </c>
      <c r="C62" s="5" t="s">
        <v>75</v>
      </c>
      <c r="D62" s="5" t="s">
        <v>197</v>
      </c>
      <c r="E62" s="5" t="n">
        <v>20</v>
      </c>
      <c r="F62" s="5" t="n">
        <v>150.01</v>
      </c>
      <c r="G62" s="5" t="n">
        <f aca="false">E62*F62</f>
        <v>3000.2</v>
      </c>
      <c r="H62" s="5" t="s">
        <v>461</v>
      </c>
      <c r="I62" s="5" t="s">
        <v>411</v>
      </c>
      <c r="J62" s="5" t="s">
        <v>306</v>
      </c>
      <c r="K62" s="5"/>
      <c r="L62" s="5" t="s">
        <v>154</v>
      </c>
    </row>
    <row r="63" customFormat="false" ht="15" hidden="false" customHeight="false" outlineLevel="0" collapsed="false">
      <c r="A63" s="5" t="s">
        <v>462</v>
      </c>
      <c r="B63" s="5" t="n">
        <v>1</v>
      </c>
      <c r="C63" s="5" t="s">
        <v>138</v>
      </c>
      <c r="D63" s="5" t="s">
        <v>247</v>
      </c>
      <c r="E63" s="5" t="n">
        <v>10</v>
      </c>
      <c r="F63" s="5" t="n">
        <v>40.1</v>
      </c>
      <c r="G63" s="5" t="n">
        <f aca="false">E63*F63</f>
        <v>401</v>
      </c>
      <c r="H63" s="5" t="s">
        <v>463</v>
      </c>
      <c r="I63" s="5" t="s">
        <v>331</v>
      </c>
      <c r="J63" s="5" t="s">
        <v>333</v>
      </c>
      <c r="K63" s="5" t="s">
        <v>464</v>
      </c>
      <c r="L63" s="5" t="s">
        <v>154</v>
      </c>
    </row>
    <row r="64" customFormat="false" ht="15" hidden="false" customHeight="false" outlineLevel="0" collapsed="false">
      <c r="A64" s="5" t="s">
        <v>462</v>
      </c>
      <c r="B64" s="5" t="n">
        <v>2</v>
      </c>
      <c r="C64" s="5" t="s">
        <v>138</v>
      </c>
      <c r="D64" s="5" t="s">
        <v>217</v>
      </c>
      <c r="E64" s="5" t="n">
        <v>12</v>
      </c>
      <c r="F64" s="5" t="n">
        <v>314.93</v>
      </c>
      <c r="G64" s="5" t="n">
        <f aca="false">E64*F64</f>
        <v>3779.16</v>
      </c>
      <c r="H64" s="5" t="s">
        <v>463</v>
      </c>
      <c r="I64" s="5" t="s">
        <v>465</v>
      </c>
      <c r="J64" s="5" t="s">
        <v>333</v>
      </c>
      <c r="K64" s="5" t="s">
        <v>464</v>
      </c>
      <c r="L64" s="5" t="s">
        <v>154</v>
      </c>
    </row>
    <row r="65" customFormat="false" ht="15" hidden="false" customHeight="false" outlineLevel="0" collapsed="false">
      <c r="A65" s="5" t="s">
        <v>466</v>
      </c>
      <c r="B65" s="5" t="n">
        <v>1</v>
      </c>
      <c r="C65" s="5" t="s">
        <v>103</v>
      </c>
      <c r="D65" s="5" t="s">
        <v>205</v>
      </c>
      <c r="E65" s="5" t="n">
        <v>20</v>
      </c>
      <c r="F65" s="5" t="n">
        <v>465.16</v>
      </c>
      <c r="G65" s="5" t="n">
        <f aca="false">E65*F65</f>
        <v>9303.2</v>
      </c>
      <c r="H65" s="5" t="s">
        <v>385</v>
      </c>
      <c r="I65" s="5" t="s">
        <v>467</v>
      </c>
      <c r="J65" s="5" t="s">
        <v>338</v>
      </c>
      <c r="K65" s="5"/>
      <c r="L65" s="5" t="s">
        <v>154</v>
      </c>
    </row>
    <row r="66" customFormat="false" ht="15" hidden="false" customHeight="false" outlineLevel="0" collapsed="false">
      <c r="A66" s="5" t="s">
        <v>466</v>
      </c>
      <c r="B66" s="5" t="n">
        <v>2</v>
      </c>
      <c r="C66" s="5" t="s">
        <v>103</v>
      </c>
      <c r="D66" s="5" t="s">
        <v>201</v>
      </c>
      <c r="E66" s="5" t="n">
        <v>8</v>
      </c>
      <c r="F66" s="5" t="n">
        <v>332.95</v>
      </c>
      <c r="G66" s="5" t="n">
        <f aca="false">E66*F66</f>
        <v>2663.6</v>
      </c>
      <c r="H66" s="5" t="s">
        <v>385</v>
      </c>
      <c r="I66" s="5" t="s">
        <v>389</v>
      </c>
      <c r="J66" s="5" t="s">
        <v>338</v>
      </c>
      <c r="K66" s="5"/>
      <c r="L66" s="5" t="s">
        <v>154</v>
      </c>
    </row>
    <row r="67" customFormat="false" ht="15" hidden="false" customHeight="false" outlineLevel="0" collapsed="false">
      <c r="A67" s="5" t="s">
        <v>466</v>
      </c>
      <c r="B67" s="5" t="n">
        <v>3</v>
      </c>
      <c r="C67" s="5" t="s">
        <v>103</v>
      </c>
      <c r="D67" s="5" t="s">
        <v>215</v>
      </c>
      <c r="E67" s="5" t="n">
        <v>10</v>
      </c>
      <c r="F67" s="5" t="n">
        <v>39.97</v>
      </c>
      <c r="G67" s="5" t="n">
        <f aca="false">E67*F67</f>
        <v>399.7</v>
      </c>
      <c r="H67" s="5" t="s">
        <v>385</v>
      </c>
      <c r="I67" s="5" t="s">
        <v>467</v>
      </c>
      <c r="J67" s="5" t="s">
        <v>338</v>
      </c>
      <c r="K67" s="5"/>
      <c r="L67" s="5" t="s">
        <v>154</v>
      </c>
    </row>
    <row r="68" customFormat="false" ht="15" hidden="false" customHeight="false" outlineLevel="0" collapsed="false">
      <c r="A68" s="5" t="s">
        <v>468</v>
      </c>
      <c r="B68" s="5" t="n">
        <v>1</v>
      </c>
      <c r="C68" s="5" t="s">
        <v>96</v>
      </c>
      <c r="D68" s="5" t="s">
        <v>289</v>
      </c>
      <c r="E68" s="5" t="n">
        <v>10</v>
      </c>
      <c r="F68" s="5" t="n">
        <v>133.85</v>
      </c>
      <c r="G68" s="5" t="n">
        <f aca="false">E68*F68</f>
        <v>1338.5</v>
      </c>
      <c r="H68" s="5" t="s">
        <v>351</v>
      </c>
      <c r="I68" s="5" t="s">
        <v>469</v>
      </c>
      <c r="J68" s="5" t="s">
        <v>322</v>
      </c>
      <c r="K68" s="5" t="s">
        <v>470</v>
      </c>
      <c r="L68" s="5" t="s">
        <v>154</v>
      </c>
    </row>
    <row r="69" customFormat="false" ht="15" hidden="false" customHeight="false" outlineLevel="0" collapsed="false">
      <c r="A69" s="5" t="s">
        <v>468</v>
      </c>
      <c r="B69" s="5" t="n">
        <v>2</v>
      </c>
      <c r="C69" s="5" t="s">
        <v>96</v>
      </c>
      <c r="D69" s="5" t="s">
        <v>245</v>
      </c>
      <c r="E69" s="5" t="n">
        <v>10</v>
      </c>
      <c r="F69" s="5" t="n">
        <v>461.53</v>
      </c>
      <c r="G69" s="5" t="n">
        <f aca="false">E69*F69</f>
        <v>4615.3</v>
      </c>
      <c r="H69" s="5" t="s">
        <v>351</v>
      </c>
      <c r="I69" s="5" t="s">
        <v>337</v>
      </c>
      <c r="J69" s="5" t="s">
        <v>322</v>
      </c>
      <c r="K69" s="5" t="s">
        <v>470</v>
      </c>
      <c r="L69" s="5" t="s">
        <v>154</v>
      </c>
    </row>
    <row r="70" customFormat="false" ht="15" hidden="false" customHeight="false" outlineLevel="0" collapsed="false">
      <c r="A70" s="5" t="s">
        <v>468</v>
      </c>
      <c r="B70" s="5" t="n">
        <v>3</v>
      </c>
      <c r="C70" s="5" t="s">
        <v>96</v>
      </c>
      <c r="D70" s="5" t="s">
        <v>271</v>
      </c>
      <c r="E70" s="5" t="n">
        <v>2</v>
      </c>
      <c r="F70" s="5" t="n">
        <v>385.03</v>
      </c>
      <c r="G70" s="5" t="n">
        <f aca="false">E70*F70</f>
        <v>770.06</v>
      </c>
      <c r="H70" s="5" t="s">
        <v>351</v>
      </c>
      <c r="I70" s="5" t="s">
        <v>471</v>
      </c>
      <c r="J70" s="5" t="s">
        <v>322</v>
      </c>
      <c r="K70" s="5" t="s">
        <v>470</v>
      </c>
      <c r="L70" s="5" t="s">
        <v>154</v>
      </c>
    </row>
    <row r="71" customFormat="false" ht="15" hidden="false" customHeight="false" outlineLevel="0" collapsed="false">
      <c r="A71" s="5" t="s">
        <v>472</v>
      </c>
      <c r="B71" s="5" t="n">
        <v>1</v>
      </c>
      <c r="C71" s="5" t="s">
        <v>126</v>
      </c>
      <c r="D71" s="5" t="s">
        <v>279</v>
      </c>
      <c r="E71" s="5" t="n">
        <v>4</v>
      </c>
      <c r="F71" s="5" t="n">
        <v>262.32</v>
      </c>
      <c r="G71" s="5" t="n">
        <f aca="false">E71*F71</f>
        <v>1049.28</v>
      </c>
      <c r="H71" s="5" t="s">
        <v>422</v>
      </c>
      <c r="I71" s="5" t="s">
        <v>473</v>
      </c>
      <c r="J71" s="5" t="s">
        <v>306</v>
      </c>
      <c r="K71" s="5"/>
      <c r="L71" s="5" t="s">
        <v>154</v>
      </c>
    </row>
    <row r="72" customFormat="false" ht="15" hidden="false" customHeight="false" outlineLevel="0" collapsed="false">
      <c r="A72" s="5" t="s">
        <v>472</v>
      </c>
      <c r="B72" s="5" t="n">
        <v>2</v>
      </c>
      <c r="C72" s="5" t="s">
        <v>126</v>
      </c>
      <c r="D72" s="5" t="s">
        <v>257</v>
      </c>
      <c r="E72" s="5" t="n">
        <v>8</v>
      </c>
      <c r="F72" s="5" t="n">
        <v>501.03</v>
      </c>
      <c r="G72" s="5" t="n">
        <f aca="false">E72*F72</f>
        <v>4008.24</v>
      </c>
      <c r="H72" s="5" t="s">
        <v>422</v>
      </c>
      <c r="I72" s="5" t="s">
        <v>474</v>
      </c>
      <c r="J72" s="5" t="s">
        <v>306</v>
      </c>
      <c r="K72" s="5"/>
      <c r="L72" s="5" t="s">
        <v>154</v>
      </c>
    </row>
    <row r="73" customFormat="false" ht="15" hidden="false" customHeight="false" outlineLevel="0" collapsed="false">
      <c r="A73" s="5" t="s">
        <v>472</v>
      </c>
      <c r="B73" s="5" t="n">
        <v>3</v>
      </c>
      <c r="C73" s="5" t="s">
        <v>126</v>
      </c>
      <c r="D73" s="5" t="s">
        <v>287</v>
      </c>
      <c r="E73" s="5" t="n">
        <v>5</v>
      </c>
      <c r="F73" s="5" t="n">
        <v>333.77</v>
      </c>
      <c r="G73" s="5" t="n">
        <f aca="false">E73*F73</f>
        <v>1668.85</v>
      </c>
      <c r="H73" s="5" t="s">
        <v>422</v>
      </c>
      <c r="I73" s="5" t="s">
        <v>475</v>
      </c>
      <c r="J73" s="5" t="s">
        <v>306</v>
      </c>
      <c r="K73" s="5"/>
      <c r="L73" s="5" t="s">
        <v>154</v>
      </c>
    </row>
    <row r="74" customFormat="false" ht="15" hidden="false" customHeight="false" outlineLevel="0" collapsed="false">
      <c r="A74" s="5" t="s">
        <v>476</v>
      </c>
      <c r="B74" s="5" t="n">
        <v>1</v>
      </c>
      <c r="C74" s="5" t="s">
        <v>89</v>
      </c>
      <c r="D74" s="5" t="s">
        <v>247</v>
      </c>
      <c r="E74" s="5" t="n">
        <v>1</v>
      </c>
      <c r="F74" s="5" t="n">
        <v>40.1</v>
      </c>
      <c r="G74" s="5" t="n">
        <f aca="false">E74*F74</f>
        <v>40.1</v>
      </c>
      <c r="H74" s="5" t="s">
        <v>453</v>
      </c>
      <c r="I74" s="5" t="s">
        <v>477</v>
      </c>
      <c r="J74" s="5" t="s">
        <v>360</v>
      </c>
      <c r="K74" s="5"/>
      <c r="L74" s="5" t="s">
        <v>154</v>
      </c>
    </row>
    <row r="75" customFormat="false" ht="15" hidden="false" customHeight="false" outlineLevel="0" collapsed="false">
      <c r="A75" s="5" t="s">
        <v>478</v>
      </c>
      <c r="B75" s="5" t="n">
        <v>1</v>
      </c>
      <c r="C75" s="5" t="s">
        <v>75</v>
      </c>
      <c r="D75" s="5" t="s">
        <v>193</v>
      </c>
      <c r="E75" s="5" t="n">
        <v>4</v>
      </c>
      <c r="F75" s="5" t="n">
        <v>175.52</v>
      </c>
      <c r="G75" s="5" t="n">
        <f aca="false">E75*F75</f>
        <v>702.08</v>
      </c>
      <c r="H75" s="5" t="s">
        <v>320</v>
      </c>
      <c r="I75" s="5" t="s">
        <v>420</v>
      </c>
      <c r="J75" s="5" t="s">
        <v>322</v>
      </c>
      <c r="K75" s="5" t="s">
        <v>479</v>
      </c>
      <c r="L75" s="5" t="s">
        <v>154</v>
      </c>
    </row>
    <row r="76" customFormat="false" ht="15" hidden="false" customHeight="false" outlineLevel="0" collapsed="false">
      <c r="A76" s="5" t="s">
        <v>480</v>
      </c>
      <c r="B76" s="5" t="n">
        <v>1</v>
      </c>
      <c r="C76" s="5" t="s">
        <v>42</v>
      </c>
      <c r="D76" s="5" t="s">
        <v>195</v>
      </c>
      <c r="E76" s="5" t="n">
        <v>1</v>
      </c>
      <c r="F76" s="5" t="n">
        <v>636.93</v>
      </c>
      <c r="G76" s="5" t="n">
        <f aca="false">E76*F76</f>
        <v>636.93</v>
      </c>
      <c r="H76" s="5" t="s">
        <v>481</v>
      </c>
      <c r="I76" s="5" t="s">
        <v>482</v>
      </c>
      <c r="J76" s="5" t="s">
        <v>333</v>
      </c>
      <c r="K76" s="5" t="s">
        <v>483</v>
      </c>
      <c r="L76" s="5" t="s">
        <v>154</v>
      </c>
    </row>
    <row r="77" customFormat="false" ht="15" hidden="false" customHeight="false" outlineLevel="0" collapsed="false">
      <c r="A77" s="5" t="s">
        <v>484</v>
      </c>
      <c r="B77" s="5" t="n">
        <v>1</v>
      </c>
      <c r="C77" s="5" t="s">
        <v>123</v>
      </c>
      <c r="D77" s="5" t="s">
        <v>190</v>
      </c>
      <c r="E77" s="5" t="n">
        <v>2</v>
      </c>
      <c r="F77" s="5" t="n">
        <v>344.67</v>
      </c>
      <c r="G77" s="5" t="n">
        <f aca="false">E77*F77</f>
        <v>689.34</v>
      </c>
      <c r="H77" s="5" t="s">
        <v>485</v>
      </c>
      <c r="I77" s="5" t="s">
        <v>486</v>
      </c>
      <c r="J77" s="5" t="s">
        <v>311</v>
      </c>
      <c r="K77" s="5"/>
      <c r="L77" s="5" t="s">
        <v>154</v>
      </c>
    </row>
    <row r="78" customFormat="false" ht="15" hidden="false" customHeight="false" outlineLevel="0" collapsed="false">
      <c r="A78" s="5" t="s">
        <v>487</v>
      </c>
      <c r="B78" s="5" t="n">
        <v>1</v>
      </c>
      <c r="C78" s="5" t="s">
        <v>126</v>
      </c>
      <c r="D78" s="5" t="s">
        <v>151</v>
      </c>
      <c r="E78" s="5" t="n">
        <v>10</v>
      </c>
      <c r="F78" s="5" t="n">
        <v>174.05</v>
      </c>
      <c r="G78" s="5" t="n">
        <f aca="false">E78*F78</f>
        <v>1740.5</v>
      </c>
      <c r="H78" s="5" t="s">
        <v>488</v>
      </c>
      <c r="I78" s="5" t="s">
        <v>489</v>
      </c>
      <c r="J78" s="5" t="s">
        <v>338</v>
      </c>
      <c r="K78" s="5"/>
      <c r="L78" s="5" t="s">
        <v>154</v>
      </c>
    </row>
    <row r="79" customFormat="false" ht="15" hidden="false" customHeight="false" outlineLevel="0" collapsed="false">
      <c r="A79" s="5" t="s">
        <v>490</v>
      </c>
      <c r="B79" s="5" t="n">
        <v>1</v>
      </c>
      <c r="C79" s="5" t="s">
        <v>130</v>
      </c>
      <c r="D79" s="5" t="s">
        <v>219</v>
      </c>
      <c r="E79" s="5" t="n">
        <v>20</v>
      </c>
      <c r="F79" s="5" t="n">
        <v>630.72</v>
      </c>
      <c r="G79" s="5" t="n">
        <f aca="false">E79*F79</f>
        <v>12614.4</v>
      </c>
      <c r="H79" s="5" t="s">
        <v>426</v>
      </c>
      <c r="I79" s="5" t="s">
        <v>473</v>
      </c>
      <c r="J79" s="5" t="s">
        <v>306</v>
      </c>
      <c r="K79" s="5"/>
      <c r="L79" s="5" t="s">
        <v>154</v>
      </c>
    </row>
    <row r="80" customFormat="false" ht="15" hidden="false" customHeight="false" outlineLevel="0" collapsed="false">
      <c r="A80" s="5" t="s">
        <v>491</v>
      </c>
      <c r="B80" s="5" t="n">
        <v>1</v>
      </c>
      <c r="C80" s="5" t="s">
        <v>126</v>
      </c>
      <c r="D80" s="5" t="s">
        <v>183</v>
      </c>
      <c r="E80" s="5" t="n">
        <v>2</v>
      </c>
      <c r="F80" s="5" t="n">
        <v>610.61</v>
      </c>
      <c r="G80" s="5" t="n">
        <f aca="false">E80*F80</f>
        <v>1221.22</v>
      </c>
      <c r="H80" s="5" t="s">
        <v>492</v>
      </c>
      <c r="I80" s="5" t="s">
        <v>340</v>
      </c>
      <c r="J80" s="5" t="s">
        <v>333</v>
      </c>
      <c r="K80" s="5" t="s">
        <v>493</v>
      </c>
      <c r="L80" s="5" t="s">
        <v>154</v>
      </c>
    </row>
    <row r="81" customFormat="false" ht="15" hidden="false" customHeight="false" outlineLevel="0" collapsed="false">
      <c r="A81" s="5" t="s">
        <v>491</v>
      </c>
      <c r="B81" s="5" t="n">
        <v>2</v>
      </c>
      <c r="C81" s="5" t="s">
        <v>126</v>
      </c>
      <c r="D81" s="5" t="s">
        <v>251</v>
      </c>
      <c r="E81" s="5" t="n">
        <v>5</v>
      </c>
      <c r="F81" s="5" t="n">
        <v>278.3</v>
      </c>
      <c r="G81" s="5" t="n">
        <f aca="false">E81*F81</f>
        <v>1391.5</v>
      </c>
      <c r="H81" s="5" t="s">
        <v>492</v>
      </c>
      <c r="I81" s="5" t="s">
        <v>494</v>
      </c>
      <c r="J81" s="5" t="s">
        <v>333</v>
      </c>
      <c r="K81" s="5" t="s">
        <v>493</v>
      </c>
      <c r="L81" s="5" t="s">
        <v>154</v>
      </c>
    </row>
    <row r="82" customFormat="false" ht="15" hidden="false" customHeight="false" outlineLevel="0" collapsed="false">
      <c r="A82" s="5" t="s">
        <v>491</v>
      </c>
      <c r="B82" s="5" t="n">
        <v>3</v>
      </c>
      <c r="C82" s="5" t="s">
        <v>126</v>
      </c>
      <c r="D82" s="5" t="s">
        <v>267</v>
      </c>
      <c r="E82" s="5" t="n">
        <v>4</v>
      </c>
      <c r="F82" s="5" t="n">
        <v>184.08</v>
      </c>
      <c r="G82" s="5" t="n">
        <f aca="false">E82*F82</f>
        <v>736.32</v>
      </c>
      <c r="H82" s="5" t="s">
        <v>492</v>
      </c>
      <c r="I82" s="5" t="s">
        <v>336</v>
      </c>
      <c r="J82" s="5" t="s">
        <v>333</v>
      </c>
      <c r="K82" s="5" t="s">
        <v>493</v>
      </c>
      <c r="L82" s="5" t="s">
        <v>154</v>
      </c>
    </row>
    <row r="83" customFormat="false" ht="15" hidden="false" customHeight="false" outlineLevel="0" collapsed="false">
      <c r="A83" s="5" t="s">
        <v>495</v>
      </c>
      <c r="B83" s="5" t="n">
        <v>1</v>
      </c>
      <c r="C83" s="5" t="s">
        <v>130</v>
      </c>
      <c r="D83" s="5" t="s">
        <v>289</v>
      </c>
      <c r="E83" s="5" t="n">
        <v>1</v>
      </c>
      <c r="F83" s="5" t="n">
        <v>133.85</v>
      </c>
      <c r="G83" s="5" t="n">
        <f aca="false">E83*F83</f>
        <v>133.85</v>
      </c>
      <c r="H83" s="5" t="s">
        <v>475</v>
      </c>
      <c r="I83" s="5" t="s">
        <v>496</v>
      </c>
      <c r="J83" s="5" t="s">
        <v>311</v>
      </c>
      <c r="K83" s="5"/>
      <c r="L83" s="5" t="s">
        <v>154</v>
      </c>
    </row>
    <row r="84" customFormat="false" ht="15" hidden="false" customHeight="false" outlineLevel="0" collapsed="false">
      <c r="A84" s="5" t="s">
        <v>497</v>
      </c>
      <c r="B84" s="5" t="n">
        <v>1</v>
      </c>
      <c r="C84" s="5" t="s">
        <v>85</v>
      </c>
      <c r="D84" s="5" t="s">
        <v>281</v>
      </c>
      <c r="E84" s="5" t="n">
        <v>5</v>
      </c>
      <c r="F84" s="5" t="n">
        <v>480.82</v>
      </c>
      <c r="G84" s="5" t="n">
        <f aca="false">E84*F84</f>
        <v>2404.1</v>
      </c>
      <c r="H84" s="5" t="s">
        <v>498</v>
      </c>
      <c r="I84" s="5" t="s">
        <v>499</v>
      </c>
      <c r="J84" s="5" t="s">
        <v>311</v>
      </c>
      <c r="K84" s="5"/>
      <c r="L84" s="5" t="s">
        <v>154</v>
      </c>
    </row>
    <row r="85" customFormat="false" ht="15" hidden="false" customHeight="false" outlineLevel="0" collapsed="false">
      <c r="A85" s="5" t="s">
        <v>497</v>
      </c>
      <c r="B85" s="5" t="n">
        <v>2</v>
      </c>
      <c r="C85" s="5" t="s">
        <v>85</v>
      </c>
      <c r="D85" s="5" t="s">
        <v>259</v>
      </c>
      <c r="E85" s="5" t="n">
        <v>2</v>
      </c>
      <c r="F85" s="5" t="n">
        <v>110.7</v>
      </c>
      <c r="G85" s="5" t="n">
        <f aca="false">E85*F85</f>
        <v>221.4</v>
      </c>
      <c r="H85" s="5" t="s">
        <v>498</v>
      </c>
      <c r="I85" s="5" t="s">
        <v>500</v>
      </c>
      <c r="J85" s="5" t="s">
        <v>311</v>
      </c>
      <c r="K85" s="5"/>
      <c r="L85" s="5" t="s">
        <v>154</v>
      </c>
    </row>
    <row r="86" customFormat="false" ht="15" hidden="false" customHeight="false" outlineLevel="0" collapsed="false">
      <c r="A86" s="5" t="s">
        <v>501</v>
      </c>
      <c r="B86" s="5" t="n">
        <v>1</v>
      </c>
      <c r="C86" s="5" t="s">
        <v>130</v>
      </c>
      <c r="D86" s="5" t="s">
        <v>285</v>
      </c>
      <c r="E86" s="5" t="n">
        <v>2</v>
      </c>
      <c r="F86" s="5" t="n">
        <v>287.44</v>
      </c>
      <c r="G86" s="5" t="n">
        <f aca="false">E86*F86</f>
        <v>574.88</v>
      </c>
      <c r="H86" s="5" t="s">
        <v>502</v>
      </c>
      <c r="I86" s="5" t="s">
        <v>451</v>
      </c>
      <c r="J86" s="5" t="s">
        <v>338</v>
      </c>
      <c r="K86" s="5"/>
      <c r="L86" s="5" t="s">
        <v>154</v>
      </c>
    </row>
    <row r="87" customFormat="false" ht="15" hidden="false" customHeight="false" outlineLevel="0" collapsed="false">
      <c r="A87" s="5" t="s">
        <v>501</v>
      </c>
      <c r="B87" s="5" t="n">
        <v>2</v>
      </c>
      <c r="C87" s="5" t="s">
        <v>130</v>
      </c>
      <c r="D87" s="5" t="s">
        <v>293</v>
      </c>
      <c r="E87" s="5" t="n">
        <v>1</v>
      </c>
      <c r="F87" s="5" t="n">
        <v>162.2</v>
      </c>
      <c r="G87" s="5" t="n">
        <f aca="false">E87*F87</f>
        <v>162.2</v>
      </c>
      <c r="H87" s="5" t="s">
        <v>502</v>
      </c>
      <c r="I87" s="5" t="s">
        <v>341</v>
      </c>
      <c r="J87" s="5" t="s">
        <v>338</v>
      </c>
      <c r="K87" s="5"/>
      <c r="L87" s="5" t="s">
        <v>154</v>
      </c>
    </row>
    <row r="88" customFormat="false" ht="15" hidden="false" customHeight="false" outlineLevel="0" collapsed="false">
      <c r="A88" s="5" t="s">
        <v>503</v>
      </c>
      <c r="B88" s="5" t="n">
        <v>1</v>
      </c>
      <c r="C88" s="5" t="s">
        <v>103</v>
      </c>
      <c r="D88" s="5" t="s">
        <v>188</v>
      </c>
      <c r="E88" s="5" t="n">
        <v>1</v>
      </c>
      <c r="F88" s="5" t="n">
        <v>366.57</v>
      </c>
      <c r="G88" s="5" t="n">
        <f aca="false">E88*F88</f>
        <v>366.57</v>
      </c>
      <c r="H88" s="5" t="s">
        <v>504</v>
      </c>
      <c r="I88" s="5" t="s">
        <v>362</v>
      </c>
      <c r="J88" s="5" t="s">
        <v>338</v>
      </c>
      <c r="K88" s="5"/>
      <c r="L88" s="5" t="s">
        <v>154</v>
      </c>
    </row>
    <row r="89" customFormat="false" ht="15" hidden="false" customHeight="false" outlineLevel="0" collapsed="false">
      <c r="A89" s="5" t="s">
        <v>505</v>
      </c>
      <c r="B89" s="5" t="n">
        <v>1</v>
      </c>
      <c r="C89" s="5" t="s">
        <v>89</v>
      </c>
      <c r="D89" s="5" t="s">
        <v>207</v>
      </c>
      <c r="E89" s="5" t="n">
        <v>10</v>
      </c>
      <c r="F89" s="5" t="n">
        <v>265.26</v>
      </c>
      <c r="G89" s="5" t="n">
        <f aca="false">E89*F89</f>
        <v>2652.6</v>
      </c>
      <c r="H89" s="5" t="s">
        <v>506</v>
      </c>
      <c r="I89" s="5" t="s">
        <v>457</v>
      </c>
      <c r="J89" s="5" t="s">
        <v>322</v>
      </c>
      <c r="K89" s="5" t="s">
        <v>507</v>
      </c>
      <c r="L89" s="5" t="s">
        <v>154</v>
      </c>
    </row>
    <row r="90" customFormat="false" ht="15" hidden="false" customHeight="false" outlineLevel="0" collapsed="false">
      <c r="A90" s="5" t="s">
        <v>505</v>
      </c>
      <c r="B90" s="5" t="n">
        <v>2</v>
      </c>
      <c r="C90" s="5" t="s">
        <v>89</v>
      </c>
      <c r="D90" s="5" t="s">
        <v>273</v>
      </c>
      <c r="E90" s="5" t="n">
        <v>5</v>
      </c>
      <c r="F90" s="5" t="n">
        <v>128.13</v>
      </c>
      <c r="G90" s="5" t="n">
        <f aca="false">E90*F90</f>
        <v>640.65</v>
      </c>
      <c r="H90" s="5" t="s">
        <v>506</v>
      </c>
      <c r="I90" s="5" t="s">
        <v>508</v>
      </c>
      <c r="J90" s="5" t="s">
        <v>322</v>
      </c>
      <c r="K90" s="5" t="s">
        <v>507</v>
      </c>
      <c r="L90" s="5" t="s">
        <v>154</v>
      </c>
    </row>
    <row r="91" customFormat="false" ht="15" hidden="false" customHeight="false" outlineLevel="0" collapsed="false">
      <c r="A91" s="5" t="s">
        <v>509</v>
      </c>
      <c r="B91" s="5" t="n">
        <v>1</v>
      </c>
      <c r="C91" s="5" t="s">
        <v>103</v>
      </c>
      <c r="D91" s="5" t="s">
        <v>201</v>
      </c>
      <c r="E91" s="5" t="n">
        <v>8</v>
      </c>
      <c r="F91" s="5" t="n">
        <v>332.95</v>
      </c>
      <c r="G91" s="5" t="n">
        <f aca="false">E91*F91</f>
        <v>2663.6</v>
      </c>
      <c r="H91" s="5" t="s">
        <v>508</v>
      </c>
      <c r="I91" s="5" t="s">
        <v>510</v>
      </c>
      <c r="J91" s="5" t="s">
        <v>360</v>
      </c>
      <c r="K91" s="5"/>
      <c r="L91" s="5" t="s">
        <v>154</v>
      </c>
    </row>
    <row r="92" customFormat="false" ht="15" hidden="false" customHeight="false" outlineLevel="0" collapsed="false">
      <c r="A92" s="5" t="s">
        <v>509</v>
      </c>
      <c r="B92" s="5" t="n">
        <v>2</v>
      </c>
      <c r="C92" s="5" t="s">
        <v>103</v>
      </c>
      <c r="D92" s="5" t="s">
        <v>176</v>
      </c>
      <c r="E92" s="5" t="n">
        <v>8</v>
      </c>
      <c r="F92" s="5" t="n">
        <v>10.05</v>
      </c>
      <c r="G92" s="5" t="n">
        <f aca="false">E92*F92</f>
        <v>80.4</v>
      </c>
      <c r="H92" s="5" t="s">
        <v>508</v>
      </c>
      <c r="I92" s="5" t="s">
        <v>467</v>
      </c>
      <c r="J92" s="5" t="s">
        <v>360</v>
      </c>
      <c r="K92" s="5"/>
      <c r="L92" s="5" t="s">
        <v>154</v>
      </c>
    </row>
    <row r="93" customFormat="false" ht="15" hidden="false" customHeight="false" outlineLevel="0" collapsed="false">
      <c r="A93" s="5" t="s">
        <v>509</v>
      </c>
      <c r="B93" s="5" t="n">
        <v>3</v>
      </c>
      <c r="C93" s="5" t="s">
        <v>103</v>
      </c>
      <c r="D93" s="5" t="s">
        <v>207</v>
      </c>
      <c r="E93" s="5" t="n">
        <v>12</v>
      </c>
      <c r="F93" s="5" t="n">
        <v>265.26</v>
      </c>
      <c r="G93" s="5" t="n">
        <f aca="false">E93*F93</f>
        <v>3183.12</v>
      </c>
      <c r="H93" s="5" t="s">
        <v>508</v>
      </c>
      <c r="I93" s="5" t="s">
        <v>398</v>
      </c>
      <c r="J93" s="5" t="s">
        <v>360</v>
      </c>
      <c r="K93" s="5"/>
      <c r="L93" s="5" t="s">
        <v>154</v>
      </c>
    </row>
    <row r="94" customFormat="false" ht="15" hidden="false" customHeight="false" outlineLevel="0" collapsed="false">
      <c r="A94" s="5" t="s">
        <v>511</v>
      </c>
      <c r="B94" s="5" t="n">
        <v>1</v>
      </c>
      <c r="C94" s="5" t="s">
        <v>103</v>
      </c>
      <c r="D94" s="5" t="s">
        <v>238</v>
      </c>
      <c r="E94" s="5" t="n">
        <v>1</v>
      </c>
      <c r="F94" s="5" t="n">
        <v>564.71</v>
      </c>
      <c r="G94" s="5" t="n">
        <f aca="false">E94*F94</f>
        <v>564.71</v>
      </c>
      <c r="H94" s="5" t="s">
        <v>512</v>
      </c>
      <c r="I94" s="5" t="s">
        <v>370</v>
      </c>
      <c r="J94" s="5" t="s">
        <v>333</v>
      </c>
      <c r="K94" s="5" t="s">
        <v>513</v>
      </c>
      <c r="L94" s="5" t="s">
        <v>154</v>
      </c>
    </row>
    <row r="95" customFormat="false" ht="15" hidden="false" customHeight="false" outlineLevel="0" collapsed="false">
      <c r="A95" s="5" t="s">
        <v>514</v>
      </c>
      <c r="B95" s="5" t="n">
        <v>1</v>
      </c>
      <c r="C95" s="5" t="s">
        <v>123</v>
      </c>
      <c r="D95" s="5" t="s">
        <v>283</v>
      </c>
      <c r="E95" s="5" t="n">
        <v>10</v>
      </c>
      <c r="F95" s="5" t="n">
        <v>140.84</v>
      </c>
      <c r="G95" s="5" t="n">
        <f aca="false">E95*F95</f>
        <v>1408.4</v>
      </c>
      <c r="H95" s="5" t="s">
        <v>411</v>
      </c>
      <c r="I95" s="5" t="s">
        <v>475</v>
      </c>
      <c r="J95" s="5" t="s">
        <v>338</v>
      </c>
      <c r="K95" s="5"/>
      <c r="L95" s="5" t="s">
        <v>154</v>
      </c>
    </row>
    <row r="96" customFormat="false" ht="15" hidden="false" customHeight="false" outlineLevel="0" collapsed="false">
      <c r="A96" s="5" t="s">
        <v>515</v>
      </c>
      <c r="B96" s="5" t="n">
        <v>1</v>
      </c>
      <c r="C96" s="5" t="s">
        <v>126</v>
      </c>
      <c r="D96" s="5" t="s">
        <v>291</v>
      </c>
      <c r="E96" s="5" t="n">
        <v>12</v>
      </c>
      <c r="F96" s="5" t="n">
        <v>568.04</v>
      </c>
      <c r="G96" s="5" t="n">
        <f aca="false">E96*F96</f>
        <v>6816.48</v>
      </c>
      <c r="H96" s="5" t="s">
        <v>516</v>
      </c>
      <c r="I96" s="5" t="s">
        <v>444</v>
      </c>
      <c r="J96" s="5" t="s">
        <v>322</v>
      </c>
      <c r="K96" s="5" t="s">
        <v>517</v>
      </c>
      <c r="L96" s="5" t="s">
        <v>154</v>
      </c>
    </row>
    <row r="97" customFormat="false" ht="15" hidden="false" customHeight="false" outlineLevel="0" collapsed="false">
      <c r="A97" s="5" t="s">
        <v>518</v>
      </c>
      <c r="B97" s="5" t="n">
        <v>1</v>
      </c>
      <c r="C97" s="5" t="s">
        <v>96</v>
      </c>
      <c r="D97" s="5" t="s">
        <v>267</v>
      </c>
      <c r="E97" s="5" t="n">
        <v>12</v>
      </c>
      <c r="F97" s="5" t="n">
        <v>184.08</v>
      </c>
      <c r="G97" s="5" t="n">
        <f aca="false">E97*F97</f>
        <v>2208.96</v>
      </c>
      <c r="H97" s="5" t="s">
        <v>336</v>
      </c>
      <c r="I97" s="5" t="s">
        <v>519</v>
      </c>
      <c r="J97" s="5" t="s">
        <v>338</v>
      </c>
      <c r="K97" s="5"/>
      <c r="L97" s="5" t="s">
        <v>154</v>
      </c>
    </row>
    <row r="98" customFormat="false" ht="15" hidden="false" customHeight="false" outlineLevel="0" collapsed="false">
      <c r="A98" s="5" t="s">
        <v>520</v>
      </c>
      <c r="B98" s="5" t="n">
        <v>1</v>
      </c>
      <c r="C98" s="5" t="s">
        <v>119</v>
      </c>
      <c r="D98" s="5" t="s">
        <v>261</v>
      </c>
      <c r="E98" s="5" t="n">
        <v>1</v>
      </c>
      <c r="F98" s="5" t="n">
        <v>431.38</v>
      </c>
      <c r="G98" s="5" t="n">
        <f aca="false">E98*F98</f>
        <v>431.38</v>
      </c>
      <c r="H98" s="5" t="s">
        <v>356</v>
      </c>
      <c r="I98" s="5" t="s">
        <v>422</v>
      </c>
      <c r="J98" s="5" t="s">
        <v>306</v>
      </c>
      <c r="K98" s="5"/>
      <c r="L98" s="5" t="s">
        <v>154</v>
      </c>
    </row>
    <row r="99" customFormat="false" ht="15" hidden="false" customHeight="false" outlineLevel="0" collapsed="false">
      <c r="A99" s="5" t="s">
        <v>520</v>
      </c>
      <c r="B99" s="5" t="n">
        <v>2</v>
      </c>
      <c r="C99" s="5" t="s">
        <v>119</v>
      </c>
      <c r="D99" s="5" t="s">
        <v>257</v>
      </c>
      <c r="E99" s="5" t="n">
        <v>8</v>
      </c>
      <c r="F99" s="5" t="n">
        <v>501.03</v>
      </c>
      <c r="G99" s="5" t="n">
        <f aca="false">E99*F99</f>
        <v>4008.24</v>
      </c>
      <c r="H99" s="5" t="s">
        <v>356</v>
      </c>
      <c r="I99" s="5" t="s">
        <v>444</v>
      </c>
      <c r="J99" s="5" t="s">
        <v>306</v>
      </c>
      <c r="K99" s="5"/>
      <c r="L99" s="5" t="s">
        <v>154</v>
      </c>
    </row>
    <row r="100" customFormat="false" ht="15" hidden="false" customHeight="false" outlineLevel="0" collapsed="false">
      <c r="A100" s="5" t="s">
        <v>521</v>
      </c>
      <c r="B100" s="5" t="n">
        <v>1</v>
      </c>
      <c r="C100" s="5" t="s">
        <v>42</v>
      </c>
      <c r="D100" s="5" t="s">
        <v>232</v>
      </c>
      <c r="E100" s="5" t="n">
        <v>2</v>
      </c>
      <c r="F100" s="5" t="n">
        <v>431.27</v>
      </c>
      <c r="G100" s="5" t="n">
        <f aca="false">E100*F100</f>
        <v>862.54</v>
      </c>
      <c r="H100" s="5" t="s">
        <v>355</v>
      </c>
      <c r="I100" s="5" t="s">
        <v>356</v>
      </c>
      <c r="J100" s="5" t="s">
        <v>306</v>
      </c>
      <c r="K100" s="5"/>
      <c r="L100" s="5" t="s">
        <v>154</v>
      </c>
    </row>
    <row r="101" customFormat="false" ht="15" hidden="false" customHeight="false" outlineLevel="0" collapsed="false">
      <c r="A101" s="5" t="s">
        <v>522</v>
      </c>
      <c r="B101" s="5" t="n">
        <v>1</v>
      </c>
      <c r="C101" s="5" t="s">
        <v>54</v>
      </c>
      <c r="D101" s="5" t="s">
        <v>293</v>
      </c>
      <c r="E101" s="5" t="n">
        <v>5</v>
      </c>
      <c r="F101" s="5" t="n">
        <v>162.2</v>
      </c>
      <c r="G101" s="5" t="n">
        <f aca="false">E101*F101</f>
        <v>811</v>
      </c>
      <c r="H101" s="5" t="s">
        <v>523</v>
      </c>
      <c r="I101" s="5" t="s">
        <v>434</v>
      </c>
      <c r="J101" s="5" t="s">
        <v>311</v>
      </c>
      <c r="K101" s="5"/>
      <c r="L101" s="5" t="s">
        <v>154</v>
      </c>
    </row>
    <row r="102" customFormat="false" ht="15" hidden="false" customHeight="false" outlineLevel="0" collapsed="false">
      <c r="A102" s="5" t="s">
        <v>522</v>
      </c>
      <c r="B102" s="5" t="n">
        <v>2</v>
      </c>
      <c r="C102" s="5" t="s">
        <v>54</v>
      </c>
      <c r="D102" s="5" t="s">
        <v>226</v>
      </c>
      <c r="E102" s="5" t="n">
        <v>4</v>
      </c>
      <c r="F102" s="5" t="n">
        <v>58.63</v>
      </c>
      <c r="G102" s="5" t="n">
        <f aca="false">E102*F102</f>
        <v>234.52</v>
      </c>
      <c r="H102" s="5" t="s">
        <v>523</v>
      </c>
      <c r="I102" s="5" t="s">
        <v>376</v>
      </c>
      <c r="J102" s="5" t="s">
        <v>311</v>
      </c>
      <c r="K102" s="5"/>
      <c r="L102" s="5" t="s">
        <v>154</v>
      </c>
    </row>
    <row r="103" customFormat="false" ht="15" hidden="false" customHeight="false" outlineLevel="0" collapsed="false">
      <c r="A103" s="5" t="s">
        <v>522</v>
      </c>
      <c r="B103" s="5" t="n">
        <v>3</v>
      </c>
      <c r="C103" s="5" t="s">
        <v>54</v>
      </c>
      <c r="D103" s="5" t="s">
        <v>186</v>
      </c>
      <c r="E103" s="5" t="n">
        <v>10</v>
      </c>
      <c r="F103" s="5" t="n">
        <v>78.7</v>
      </c>
      <c r="G103" s="5" t="n">
        <f aca="false">E103*F103</f>
        <v>787</v>
      </c>
      <c r="H103" s="5" t="s">
        <v>523</v>
      </c>
      <c r="I103" s="5" t="s">
        <v>326</v>
      </c>
      <c r="J103" s="5" t="s">
        <v>311</v>
      </c>
      <c r="K103" s="5"/>
      <c r="L103" s="5" t="s">
        <v>154</v>
      </c>
    </row>
    <row r="104" customFormat="false" ht="15" hidden="false" customHeight="false" outlineLevel="0" collapsed="false">
      <c r="A104" s="5" t="s">
        <v>524</v>
      </c>
      <c r="B104" s="5" t="n">
        <v>1</v>
      </c>
      <c r="C104" s="5" t="s">
        <v>130</v>
      </c>
      <c r="D104" s="5" t="s">
        <v>158</v>
      </c>
      <c r="E104" s="5" t="n">
        <v>1</v>
      </c>
      <c r="F104" s="5" t="n">
        <v>638.31</v>
      </c>
      <c r="G104" s="5" t="n">
        <f aca="false">E104*F104</f>
        <v>638.31</v>
      </c>
      <c r="H104" s="5" t="s">
        <v>447</v>
      </c>
      <c r="I104" s="5" t="s">
        <v>471</v>
      </c>
      <c r="J104" s="5" t="s">
        <v>311</v>
      </c>
      <c r="K104" s="5"/>
      <c r="L104" s="5" t="s">
        <v>154</v>
      </c>
    </row>
    <row r="105" customFormat="false" ht="15" hidden="false" customHeight="false" outlineLevel="0" collapsed="false">
      <c r="A105" s="5" t="s">
        <v>525</v>
      </c>
      <c r="B105" s="5" t="n">
        <v>1</v>
      </c>
      <c r="C105" s="5" t="s">
        <v>75</v>
      </c>
      <c r="D105" s="5" t="s">
        <v>277</v>
      </c>
      <c r="E105" s="5" t="n">
        <v>2</v>
      </c>
      <c r="F105" s="5" t="n">
        <v>206.39</v>
      </c>
      <c r="G105" s="5" t="n">
        <f aca="false">E105*F105</f>
        <v>412.78</v>
      </c>
      <c r="H105" s="5" t="s">
        <v>414</v>
      </c>
      <c r="I105" s="5" t="s">
        <v>526</v>
      </c>
      <c r="J105" s="5" t="s">
        <v>322</v>
      </c>
      <c r="K105" s="5" t="s">
        <v>527</v>
      </c>
      <c r="L105" s="5" t="s">
        <v>154</v>
      </c>
    </row>
    <row r="106" customFormat="false" ht="15" hidden="false" customHeight="false" outlineLevel="0" collapsed="false">
      <c r="A106" s="5" t="s">
        <v>525</v>
      </c>
      <c r="B106" s="5" t="n">
        <v>2</v>
      </c>
      <c r="C106" s="5" t="s">
        <v>75</v>
      </c>
      <c r="D106" s="5" t="s">
        <v>209</v>
      </c>
      <c r="E106" s="5" t="n">
        <v>2</v>
      </c>
      <c r="F106" s="5" t="n">
        <v>267.82</v>
      </c>
      <c r="G106" s="5" t="n">
        <f aca="false">E106*F106</f>
        <v>535.64</v>
      </c>
      <c r="H106" s="5" t="s">
        <v>414</v>
      </c>
      <c r="I106" s="5" t="s">
        <v>528</v>
      </c>
      <c r="J106" s="5" t="s">
        <v>322</v>
      </c>
      <c r="K106" s="5" t="s">
        <v>527</v>
      </c>
      <c r="L106" s="5" t="s">
        <v>154</v>
      </c>
    </row>
    <row r="107" customFormat="false" ht="15" hidden="false" customHeight="false" outlineLevel="0" collapsed="false">
      <c r="A107" s="5" t="s">
        <v>525</v>
      </c>
      <c r="B107" s="5" t="n">
        <v>3</v>
      </c>
      <c r="C107" s="5" t="s">
        <v>75</v>
      </c>
      <c r="D107" s="5" t="s">
        <v>247</v>
      </c>
      <c r="E107" s="5" t="n">
        <v>4</v>
      </c>
      <c r="F107" s="5" t="n">
        <v>40.1</v>
      </c>
      <c r="G107" s="5" t="n">
        <f aca="false">E107*F107</f>
        <v>160.4</v>
      </c>
      <c r="H107" s="5" t="s">
        <v>414</v>
      </c>
      <c r="I107" s="5" t="s">
        <v>379</v>
      </c>
      <c r="J107" s="5" t="s">
        <v>322</v>
      </c>
      <c r="K107" s="5" t="s">
        <v>527</v>
      </c>
      <c r="L107" s="5" t="s">
        <v>154</v>
      </c>
    </row>
    <row r="108" customFormat="false" ht="15" hidden="false" customHeight="false" outlineLevel="0" collapsed="false">
      <c r="A108" s="5" t="s">
        <v>529</v>
      </c>
      <c r="B108" s="5" t="n">
        <v>1</v>
      </c>
      <c r="C108" s="5" t="s">
        <v>54</v>
      </c>
      <c r="D108" s="5" t="s">
        <v>207</v>
      </c>
      <c r="E108" s="5" t="n">
        <v>1</v>
      </c>
      <c r="F108" s="5" t="n">
        <v>265.26</v>
      </c>
      <c r="G108" s="5" t="n">
        <f aca="false">E108*F108</f>
        <v>265.26</v>
      </c>
      <c r="H108" s="5" t="s">
        <v>428</v>
      </c>
      <c r="I108" s="5" t="s">
        <v>482</v>
      </c>
      <c r="J108" s="5" t="s">
        <v>322</v>
      </c>
      <c r="K108" s="5" t="s">
        <v>530</v>
      </c>
      <c r="L108" s="5" t="s">
        <v>154</v>
      </c>
    </row>
    <row r="109" customFormat="false" ht="15" hidden="false" customHeight="false" outlineLevel="0" collapsed="false">
      <c r="A109" s="5" t="s">
        <v>531</v>
      </c>
      <c r="B109" s="5" t="n">
        <v>1</v>
      </c>
      <c r="C109" s="5" t="s">
        <v>138</v>
      </c>
      <c r="D109" s="5" t="s">
        <v>171</v>
      </c>
      <c r="E109" s="5" t="n">
        <v>10</v>
      </c>
      <c r="F109" s="5" t="n">
        <v>176.63</v>
      </c>
      <c r="G109" s="5" t="n">
        <f aca="false">E109*F109</f>
        <v>1766.3</v>
      </c>
      <c r="H109" s="5" t="s">
        <v>358</v>
      </c>
      <c r="I109" s="5" t="s">
        <v>412</v>
      </c>
      <c r="J109" s="5" t="s">
        <v>338</v>
      </c>
      <c r="K109" s="5"/>
      <c r="L109" s="5" t="s">
        <v>154</v>
      </c>
    </row>
    <row r="110" customFormat="false" ht="15" hidden="false" customHeight="false" outlineLevel="0" collapsed="false">
      <c r="A110" s="5" t="s">
        <v>532</v>
      </c>
      <c r="B110" s="5" t="n">
        <v>1</v>
      </c>
      <c r="C110" s="5" t="s">
        <v>93</v>
      </c>
      <c r="D110" s="5" t="s">
        <v>243</v>
      </c>
      <c r="E110" s="5" t="n">
        <v>2</v>
      </c>
      <c r="F110" s="5" t="n">
        <v>92.87</v>
      </c>
      <c r="G110" s="5" t="n">
        <f aca="false">E110*F110</f>
        <v>185.74</v>
      </c>
      <c r="H110" s="5" t="s">
        <v>533</v>
      </c>
      <c r="I110" s="5" t="s">
        <v>534</v>
      </c>
      <c r="J110" s="5" t="s">
        <v>306</v>
      </c>
      <c r="K110" s="5"/>
      <c r="L110" s="5" t="s">
        <v>154</v>
      </c>
    </row>
    <row r="111" customFormat="false" ht="15" hidden="false" customHeight="false" outlineLevel="0" collapsed="false">
      <c r="A111" s="5" t="s">
        <v>535</v>
      </c>
      <c r="B111" s="5" t="n">
        <v>1</v>
      </c>
      <c r="C111" s="5" t="s">
        <v>138</v>
      </c>
      <c r="D111" s="5" t="s">
        <v>213</v>
      </c>
      <c r="E111" s="5" t="n">
        <v>10</v>
      </c>
      <c r="F111" s="5" t="n">
        <v>123.96</v>
      </c>
      <c r="G111" s="5" t="n">
        <f aca="false">E111*F111</f>
        <v>1239.6</v>
      </c>
      <c r="H111" s="5" t="s">
        <v>502</v>
      </c>
      <c r="I111" s="5" t="s">
        <v>447</v>
      </c>
      <c r="J111" s="5" t="s">
        <v>311</v>
      </c>
      <c r="K111" s="5"/>
      <c r="L111" s="5" t="s">
        <v>154</v>
      </c>
    </row>
    <row r="112" customFormat="false" ht="15" hidden="false" customHeight="false" outlineLevel="0" collapsed="false">
      <c r="A112" s="5" t="s">
        <v>535</v>
      </c>
      <c r="B112" s="5" t="n">
        <v>2</v>
      </c>
      <c r="C112" s="5" t="s">
        <v>138</v>
      </c>
      <c r="D112" s="5" t="s">
        <v>167</v>
      </c>
      <c r="E112" s="5" t="n">
        <v>10</v>
      </c>
      <c r="F112" s="5" t="n">
        <v>637.55</v>
      </c>
      <c r="G112" s="5" t="n">
        <f aca="false">E112*F112</f>
        <v>6375.5</v>
      </c>
      <c r="H112" s="5" t="s">
        <v>502</v>
      </c>
      <c r="I112" s="5" t="s">
        <v>365</v>
      </c>
      <c r="J112" s="5" t="s">
        <v>311</v>
      </c>
      <c r="K112" s="5"/>
      <c r="L112" s="5" t="s">
        <v>154</v>
      </c>
    </row>
    <row r="113" customFormat="false" ht="15" hidden="false" customHeight="false" outlineLevel="0" collapsed="false">
      <c r="A113" s="5" t="s">
        <v>536</v>
      </c>
      <c r="B113" s="5" t="n">
        <v>1</v>
      </c>
      <c r="C113" s="5" t="s">
        <v>100</v>
      </c>
      <c r="D113" s="5" t="s">
        <v>232</v>
      </c>
      <c r="E113" s="5" t="n">
        <v>1</v>
      </c>
      <c r="F113" s="5" t="n">
        <v>431.27</v>
      </c>
      <c r="G113" s="5" t="n">
        <f aca="false">E113*F113</f>
        <v>431.27</v>
      </c>
      <c r="H113" s="5" t="s">
        <v>537</v>
      </c>
      <c r="I113" s="5" t="s">
        <v>538</v>
      </c>
      <c r="J113" s="5" t="s">
        <v>338</v>
      </c>
      <c r="K113" s="5"/>
      <c r="L113" s="5" t="s">
        <v>154</v>
      </c>
    </row>
    <row r="114" customFormat="false" ht="15" hidden="false" customHeight="false" outlineLevel="0" collapsed="false">
      <c r="A114" s="5" t="s">
        <v>539</v>
      </c>
      <c r="B114" s="5" t="n">
        <v>1</v>
      </c>
      <c r="C114" s="5" t="s">
        <v>89</v>
      </c>
      <c r="D114" s="5" t="s">
        <v>183</v>
      </c>
      <c r="E114" s="5" t="n">
        <v>1</v>
      </c>
      <c r="F114" s="5" t="n">
        <v>610.61</v>
      </c>
      <c r="G114" s="5" t="n">
        <f aca="false">E114*F114</f>
        <v>610.61</v>
      </c>
      <c r="H114" s="5" t="s">
        <v>411</v>
      </c>
      <c r="I114" s="5" t="s">
        <v>423</v>
      </c>
      <c r="J114" s="5" t="s">
        <v>322</v>
      </c>
      <c r="K114" s="5" t="s">
        <v>540</v>
      </c>
      <c r="L114" s="5" t="s">
        <v>154</v>
      </c>
    </row>
    <row r="115" customFormat="false" ht="15" hidden="false" customHeight="false" outlineLevel="0" collapsed="false">
      <c r="A115" s="5" t="s">
        <v>541</v>
      </c>
      <c r="B115" s="5" t="n">
        <v>1</v>
      </c>
      <c r="C115" s="5" t="s">
        <v>100</v>
      </c>
      <c r="D115" s="5" t="s">
        <v>217</v>
      </c>
      <c r="E115" s="5" t="n">
        <v>10</v>
      </c>
      <c r="F115" s="5" t="n">
        <v>314.93</v>
      </c>
      <c r="G115" s="5" t="n">
        <f aca="false">E115*F115</f>
        <v>3149.3</v>
      </c>
      <c r="H115" s="5" t="s">
        <v>498</v>
      </c>
      <c r="I115" s="5" t="s">
        <v>542</v>
      </c>
      <c r="J115" s="5" t="s">
        <v>306</v>
      </c>
      <c r="K115" s="5"/>
      <c r="L115" s="5" t="s">
        <v>154</v>
      </c>
    </row>
    <row r="116" customFormat="false" ht="15" hidden="false" customHeight="false" outlineLevel="0" collapsed="false">
      <c r="A116" s="5" t="s">
        <v>543</v>
      </c>
      <c r="B116" s="5" t="n">
        <v>1</v>
      </c>
      <c r="C116" s="5" t="s">
        <v>100</v>
      </c>
      <c r="D116" s="5" t="s">
        <v>215</v>
      </c>
      <c r="E116" s="5" t="n">
        <v>4</v>
      </c>
      <c r="F116" s="5" t="n">
        <v>39.97</v>
      </c>
      <c r="G116" s="5" t="n">
        <f aca="false">E116*F116</f>
        <v>159.88</v>
      </c>
      <c r="H116" s="5" t="s">
        <v>544</v>
      </c>
      <c r="I116" s="5" t="s">
        <v>321</v>
      </c>
      <c r="J116" s="5" t="s">
        <v>306</v>
      </c>
      <c r="K116" s="5"/>
      <c r="L116" s="5" t="s">
        <v>154</v>
      </c>
    </row>
    <row r="117" customFormat="false" ht="15" hidden="false" customHeight="false" outlineLevel="0" collapsed="false">
      <c r="A117" s="5" t="s">
        <v>543</v>
      </c>
      <c r="B117" s="5" t="n">
        <v>2</v>
      </c>
      <c r="C117" s="5" t="s">
        <v>100</v>
      </c>
      <c r="D117" s="5" t="s">
        <v>190</v>
      </c>
      <c r="E117" s="5" t="n">
        <v>10</v>
      </c>
      <c r="F117" s="5" t="n">
        <v>344.67</v>
      </c>
      <c r="G117" s="5" t="n">
        <f aca="false">E117*F117</f>
        <v>3446.7</v>
      </c>
      <c r="H117" s="5" t="s">
        <v>544</v>
      </c>
      <c r="I117" s="5" t="s">
        <v>320</v>
      </c>
      <c r="J117" s="5" t="s">
        <v>306</v>
      </c>
      <c r="K117" s="5"/>
      <c r="L117" s="5" t="s">
        <v>154</v>
      </c>
    </row>
    <row r="118" customFormat="false" ht="15" hidden="false" customHeight="false" outlineLevel="0" collapsed="false">
      <c r="A118" s="5" t="s">
        <v>545</v>
      </c>
      <c r="B118" s="5" t="n">
        <v>1</v>
      </c>
      <c r="C118" s="5" t="s">
        <v>50</v>
      </c>
      <c r="D118" s="5" t="s">
        <v>183</v>
      </c>
      <c r="E118" s="5" t="n">
        <v>5</v>
      </c>
      <c r="F118" s="5" t="n">
        <v>610.61</v>
      </c>
      <c r="G118" s="5" t="n">
        <f aca="false">E118*F118</f>
        <v>3053.05</v>
      </c>
      <c r="H118" s="5" t="s">
        <v>437</v>
      </c>
      <c r="I118" s="5" t="s">
        <v>481</v>
      </c>
      <c r="J118" s="5" t="s">
        <v>306</v>
      </c>
      <c r="K118" s="5"/>
      <c r="L118" s="5" t="s">
        <v>154</v>
      </c>
    </row>
    <row r="119" customFormat="false" ht="15" hidden="false" customHeight="false" outlineLevel="0" collapsed="false">
      <c r="A119" s="5" t="s">
        <v>545</v>
      </c>
      <c r="B119" s="5" t="n">
        <v>2</v>
      </c>
      <c r="C119" s="5" t="s">
        <v>50</v>
      </c>
      <c r="D119" s="5" t="s">
        <v>249</v>
      </c>
      <c r="E119" s="5" t="n">
        <v>1</v>
      </c>
      <c r="F119" s="5" t="n">
        <v>90.68</v>
      </c>
      <c r="G119" s="5" t="n">
        <f aca="false">E119*F119</f>
        <v>90.68</v>
      </c>
      <c r="H119" s="5" t="s">
        <v>437</v>
      </c>
      <c r="I119" s="5" t="s">
        <v>445</v>
      </c>
      <c r="J119" s="5" t="s">
        <v>306</v>
      </c>
      <c r="K119" s="5"/>
      <c r="L119" s="5" t="s">
        <v>154</v>
      </c>
    </row>
    <row r="120" customFormat="false" ht="15" hidden="false" customHeight="false" outlineLevel="0" collapsed="false">
      <c r="A120" s="5" t="s">
        <v>546</v>
      </c>
      <c r="B120" s="5" t="n">
        <v>1</v>
      </c>
      <c r="C120" s="5" t="s">
        <v>130</v>
      </c>
      <c r="D120" s="5" t="s">
        <v>263</v>
      </c>
      <c r="E120" s="5" t="n">
        <v>8</v>
      </c>
      <c r="F120" s="5" t="n">
        <v>32.47</v>
      </c>
      <c r="G120" s="5" t="n">
        <f aca="false">E120*F120</f>
        <v>259.76</v>
      </c>
      <c r="H120" s="5" t="s">
        <v>394</v>
      </c>
      <c r="I120" s="5" t="s">
        <v>547</v>
      </c>
      <c r="J120" s="5" t="s">
        <v>360</v>
      </c>
      <c r="K120" s="5"/>
      <c r="L120" s="5" t="s">
        <v>154</v>
      </c>
    </row>
    <row r="121" customFormat="false" ht="15" hidden="false" customHeight="false" outlineLevel="0" collapsed="false">
      <c r="A121" s="5" t="s">
        <v>548</v>
      </c>
      <c r="B121" s="5" t="n">
        <v>1</v>
      </c>
      <c r="C121" s="5" t="s">
        <v>85</v>
      </c>
      <c r="D121" s="5" t="s">
        <v>287</v>
      </c>
      <c r="E121" s="5" t="n">
        <v>12</v>
      </c>
      <c r="F121" s="5" t="n">
        <v>333.77</v>
      </c>
      <c r="G121" s="5" t="n">
        <f aca="false">E121*F121</f>
        <v>4005.24</v>
      </c>
      <c r="H121" s="5" t="s">
        <v>394</v>
      </c>
      <c r="I121" s="5" t="s">
        <v>549</v>
      </c>
      <c r="J121" s="5" t="s">
        <v>322</v>
      </c>
      <c r="K121" s="5" t="s">
        <v>550</v>
      </c>
      <c r="L121" s="5" t="s">
        <v>154</v>
      </c>
    </row>
    <row r="122" customFormat="false" ht="15" hidden="false" customHeight="false" outlineLevel="0" collapsed="false">
      <c r="A122" s="5" t="s">
        <v>551</v>
      </c>
      <c r="B122" s="5" t="n">
        <v>1</v>
      </c>
      <c r="C122" s="5" t="s">
        <v>54</v>
      </c>
      <c r="D122" s="5" t="s">
        <v>209</v>
      </c>
      <c r="E122" s="5" t="n">
        <v>4</v>
      </c>
      <c r="F122" s="5" t="n">
        <v>267.82</v>
      </c>
      <c r="G122" s="5" t="n">
        <f aca="false">E122*F122</f>
        <v>1071.28</v>
      </c>
      <c r="H122" s="5" t="s">
        <v>352</v>
      </c>
      <c r="I122" s="5" t="s">
        <v>552</v>
      </c>
      <c r="J122" s="5" t="s">
        <v>322</v>
      </c>
      <c r="K122" s="5" t="s">
        <v>553</v>
      </c>
      <c r="L122" s="5" t="s">
        <v>154</v>
      </c>
    </row>
    <row r="123" customFormat="false" ht="15" hidden="false" customHeight="false" outlineLevel="0" collapsed="false">
      <c r="A123" s="5" t="s">
        <v>551</v>
      </c>
      <c r="B123" s="5" t="n">
        <v>2</v>
      </c>
      <c r="C123" s="5" t="s">
        <v>54</v>
      </c>
      <c r="D123" s="5" t="s">
        <v>219</v>
      </c>
      <c r="E123" s="5" t="n">
        <v>1</v>
      </c>
      <c r="F123" s="5" t="n">
        <v>630.72</v>
      </c>
      <c r="G123" s="5" t="n">
        <f aca="false">E123*F123</f>
        <v>630.72</v>
      </c>
      <c r="H123" s="5" t="s">
        <v>352</v>
      </c>
      <c r="I123" s="5" t="s">
        <v>554</v>
      </c>
      <c r="J123" s="5" t="s">
        <v>322</v>
      </c>
      <c r="K123" s="5" t="s">
        <v>553</v>
      </c>
      <c r="L123" s="5" t="s">
        <v>154</v>
      </c>
    </row>
    <row r="124" customFormat="false" ht="15" hidden="false" customHeight="false" outlineLevel="0" collapsed="false">
      <c r="A124" s="5" t="s">
        <v>555</v>
      </c>
      <c r="B124" s="5" t="n">
        <v>1</v>
      </c>
      <c r="C124" s="5" t="s">
        <v>60</v>
      </c>
      <c r="D124" s="5" t="s">
        <v>236</v>
      </c>
      <c r="E124" s="5" t="n">
        <v>5</v>
      </c>
      <c r="F124" s="5" t="n">
        <v>637.53</v>
      </c>
      <c r="G124" s="5" t="n">
        <f aca="false">E124*F124</f>
        <v>3187.65</v>
      </c>
      <c r="H124" s="5" t="s">
        <v>329</v>
      </c>
      <c r="I124" s="5" t="s">
        <v>375</v>
      </c>
      <c r="J124" s="5" t="s">
        <v>322</v>
      </c>
      <c r="K124" s="5" t="s">
        <v>556</v>
      </c>
      <c r="L124" s="5" t="s">
        <v>154</v>
      </c>
    </row>
    <row r="125" customFormat="false" ht="15" hidden="false" customHeight="false" outlineLevel="0" collapsed="false">
      <c r="A125" s="5" t="s">
        <v>557</v>
      </c>
      <c r="B125" s="5" t="n">
        <v>1</v>
      </c>
      <c r="C125" s="5" t="s">
        <v>93</v>
      </c>
      <c r="D125" s="5" t="s">
        <v>251</v>
      </c>
      <c r="E125" s="5" t="n">
        <v>20</v>
      </c>
      <c r="F125" s="5" t="n">
        <v>278.3</v>
      </c>
      <c r="G125" s="5" t="n">
        <f aca="false">E125*F125</f>
        <v>5566</v>
      </c>
      <c r="H125" s="5" t="s">
        <v>376</v>
      </c>
      <c r="I125" s="5" t="s">
        <v>395</v>
      </c>
      <c r="J125" s="5" t="s">
        <v>360</v>
      </c>
      <c r="K125" s="5"/>
      <c r="L125" s="5" t="s">
        <v>154</v>
      </c>
    </row>
    <row r="126" customFormat="false" ht="15" hidden="false" customHeight="false" outlineLevel="0" collapsed="false">
      <c r="A126" s="5" t="s">
        <v>558</v>
      </c>
      <c r="B126" s="5" t="n">
        <v>1</v>
      </c>
      <c r="C126" s="5" t="s">
        <v>42</v>
      </c>
      <c r="D126" s="5" t="s">
        <v>241</v>
      </c>
      <c r="E126" s="5" t="n">
        <v>20</v>
      </c>
      <c r="F126" s="5" t="n">
        <v>199.19</v>
      </c>
      <c r="G126" s="5" t="n">
        <f aca="false">E126*F126</f>
        <v>3983.8</v>
      </c>
      <c r="H126" s="5" t="s">
        <v>469</v>
      </c>
      <c r="I126" s="5" t="s">
        <v>526</v>
      </c>
      <c r="J126" s="5" t="s">
        <v>322</v>
      </c>
      <c r="K126" s="5" t="s">
        <v>559</v>
      </c>
      <c r="L126" s="5" t="s">
        <v>154</v>
      </c>
    </row>
    <row r="127" customFormat="false" ht="15" hidden="false" customHeight="false" outlineLevel="0" collapsed="false">
      <c r="A127" s="5" t="s">
        <v>560</v>
      </c>
      <c r="B127" s="5" t="n">
        <v>1</v>
      </c>
      <c r="C127" s="5" t="s">
        <v>100</v>
      </c>
      <c r="D127" s="5" t="s">
        <v>245</v>
      </c>
      <c r="E127" s="5" t="n">
        <v>4</v>
      </c>
      <c r="F127" s="5" t="n">
        <v>461.53</v>
      </c>
      <c r="G127" s="5" t="n">
        <f aca="false">E127*F127</f>
        <v>1846.12</v>
      </c>
      <c r="H127" s="5" t="s">
        <v>552</v>
      </c>
      <c r="I127" s="5" t="s">
        <v>537</v>
      </c>
      <c r="J127" s="5" t="s">
        <v>322</v>
      </c>
      <c r="K127" s="5" t="s">
        <v>561</v>
      </c>
      <c r="L127" s="5" t="s">
        <v>154</v>
      </c>
    </row>
    <row r="128" customFormat="false" ht="15" hidden="false" customHeight="false" outlineLevel="0" collapsed="false">
      <c r="A128" s="5" t="s">
        <v>562</v>
      </c>
      <c r="B128" s="5" t="n">
        <v>1</v>
      </c>
      <c r="C128" s="5" t="s">
        <v>75</v>
      </c>
      <c r="D128" s="5" t="s">
        <v>275</v>
      </c>
      <c r="E128" s="5" t="n">
        <v>4</v>
      </c>
      <c r="F128" s="5" t="n">
        <v>348.3</v>
      </c>
      <c r="G128" s="5" t="n">
        <f aca="false">E128*F128</f>
        <v>1393.2</v>
      </c>
      <c r="H128" s="5" t="s">
        <v>519</v>
      </c>
      <c r="I128" s="5" t="s">
        <v>526</v>
      </c>
      <c r="J128" s="5" t="s">
        <v>322</v>
      </c>
      <c r="K128" s="5" t="s">
        <v>563</v>
      </c>
      <c r="L128" s="5" t="s">
        <v>154</v>
      </c>
    </row>
    <row r="129" customFormat="false" ht="15" hidden="false" customHeight="false" outlineLevel="0" collapsed="false">
      <c r="A129" s="5" t="s">
        <v>564</v>
      </c>
      <c r="B129" s="5" t="n">
        <v>1</v>
      </c>
      <c r="C129" s="5" t="s">
        <v>89</v>
      </c>
      <c r="D129" s="5" t="s">
        <v>230</v>
      </c>
      <c r="E129" s="5" t="n">
        <v>2</v>
      </c>
      <c r="F129" s="5" t="n">
        <v>272.95</v>
      </c>
      <c r="G129" s="5" t="n">
        <f aca="false">E129*F129</f>
        <v>545.9</v>
      </c>
      <c r="H129" s="5" t="s">
        <v>485</v>
      </c>
      <c r="I129" s="5" t="s">
        <v>538</v>
      </c>
      <c r="J129" s="5" t="s">
        <v>338</v>
      </c>
      <c r="K129" s="5"/>
      <c r="L129" s="5" t="s">
        <v>154</v>
      </c>
    </row>
    <row r="130" customFormat="false" ht="15" hidden="false" customHeight="false" outlineLevel="0" collapsed="false">
      <c r="A130" s="5" t="s">
        <v>565</v>
      </c>
      <c r="B130" s="5" t="n">
        <v>1</v>
      </c>
      <c r="C130" s="5" t="s">
        <v>96</v>
      </c>
      <c r="D130" s="5" t="s">
        <v>249</v>
      </c>
      <c r="E130" s="5" t="n">
        <v>5</v>
      </c>
      <c r="F130" s="5" t="n">
        <v>90.68</v>
      </c>
      <c r="G130" s="5" t="n">
        <f aca="false">E130*F130</f>
        <v>453.4</v>
      </c>
      <c r="H130" s="5" t="s">
        <v>498</v>
      </c>
      <c r="I130" s="5" t="s">
        <v>489</v>
      </c>
      <c r="J130" s="5" t="s">
        <v>311</v>
      </c>
      <c r="K130" s="5"/>
      <c r="L130" s="5" t="s">
        <v>154</v>
      </c>
    </row>
    <row r="131" customFormat="false" ht="15" hidden="false" customHeight="false" outlineLevel="0" collapsed="false">
      <c r="A131" s="5" t="s">
        <v>566</v>
      </c>
      <c r="B131" s="5" t="n">
        <v>1</v>
      </c>
      <c r="C131" s="5" t="s">
        <v>96</v>
      </c>
      <c r="D131" s="5" t="s">
        <v>158</v>
      </c>
      <c r="E131" s="5" t="n">
        <v>10</v>
      </c>
      <c r="F131" s="5" t="n">
        <v>638.31</v>
      </c>
      <c r="G131" s="5" t="n">
        <f aca="false">E131*F131</f>
        <v>6383.1</v>
      </c>
      <c r="H131" s="5" t="s">
        <v>412</v>
      </c>
      <c r="I131" s="5" t="s">
        <v>404</v>
      </c>
      <c r="J131" s="5" t="s">
        <v>306</v>
      </c>
      <c r="K131" s="5"/>
      <c r="L131" s="5" t="s">
        <v>154</v>
      </c>
    </row>
    <row r="132" customFormat="false" ht="15" hidden="false" customHeight="false" outlineLevel="0" collapsed="false">
      <c r="A132" s="5" t="s">
        <v>566</v>
      </c>
      <c r="B132" s="5" t="n">
        <v>2</v>
      </c>
      <c r="C132" s="5" t="s">
        <v>96</v>
      </c>
      <c r="D132" s="5" t="s">
        <v>289</v>
      </c>
      <c r="E132" s="5" t="n">
        <v>5</v>
      </c>
      <c r="F132" s="5" t="n">
        <v>133.85</v>
      </c>
      <c r="G132" s="5" t="n">
        <f aca="false">E132*F132</f>
        <v>669.25</v>
      </c>
      <c r="H132" s="5" t="s">
        <v>412</v>
      </c>
      <c r="I132" s="5" t="s">
        <v>567</v>
      </c>
      <c r="J132" s="5" t="s">
        <v>306</v>
      </c>
      <c r="K132" s="5"/>
      <c r="L132" s="5" t="s">
        <v>154</v>
      </c>
    </row>
    <row r="133" customFormat="false" ht="15" hidden="false" customHeight="false" outlineLevel="0" collapsed="false">
      <c r="A133" s="5" t="s">
        <v>568</v>
      </c>
      <c r="B133" s="5" t="n">
        <v>1</v>
      </c>
      <c r="C133" s="5" t="s">
        <v>119</v>
      </c>
      <c r="D133" s="5" t="s">
        <v>211</v>
      </c>
      <c r="E133" s="5" t="n">
        <v>1</v>
      </c>
      <c r="F133" s="5" t="n">
        <v>552.58</v>
      </c>
      <c r="G133" s="5" t="n">
        <f aca="false">E133*F133</f>
        <v>552.58</v>
      </c>
      <c r="H133" s="5" t="s">
        <v>447</v>
      </c>
      <c r="I133" s="5" t="s">
        <v>352</v>
      </c>
      <c r="J133" s="5" t="s">
        <v>306</v>
      </c>
      <c r="K133" s="5"/>
      <c r="L133" s="5" t="s">
        <v>154</v>
      </c>
    </row>
    <row r="134" customFormat="false" ht="15" hidden="false" customHeight="false" outlineLevel="0" collapsed="false">
      <c r="A134" s="5" t="s">
        <v>569</v>
      </c>
      <c r="B134" s="5" t="n">
        <v>1</v>
      </c>
      <c r="C134" s="5" t="s">
        <v>33</v>
      </c>
      <c r="D134" s="5" t="s">
        <v>257</v>
      </c>
      <c r="E134" s="5" t="n">
        <v>10</v>
      </c>
      <c r="F134" s="5" t="n">
        <v>501.03</v>
      </c>
      <c r="G134" s="5" t="n">
        <f aca="false">E134*F134</f>
        <v>5010.3</v>
      </c>
      <c r="H134" s="5" t="s">
        <v>570</v>
      </c>
      <c r="I134" s="5" t="s">
        <v>533</v>
      </c>
      <c r="J134" s="5" t="s">
        <v>360</v>
      </c>
      <c r="K134" s="5"/>
      <c r="L134" s="5" t="s">
        <v>154</v>
      </c>
    </row>
    <row r="135" customFormat="false" ht="15" hidden="false" customHeight="false" outlineLevel="0" collapsed="false">
      <c r="A135" s="5" t="s">
        <v>569</v>
      </c>
      <c r="B135" s="5" t="n">
        <v>2</v>
      </c>
      <c r="C135" s="5" t="s">
        <v>33</v>
      </c>
      <c r="D135" s="5" t="s">
        <v>176</v>
      </c>
      <c r="E135" s="5" t="n">
        <v>8</v>
      </c>
      <c r="F135" s="5" t="n">
        <v>10.05</v>
      </c>
      <c r="G135" s="5" t="n">
        <f aca="false">E135*F135</f>
        <v>80.4</v>
      </c>
      <c r="H135" s="5" t="s">
        <v>570</v>
      </c>
      <c r="I135" s="5" t="s">
        <v>516</v>
      </c>
      <c r="J135" s="5" t="s">
        <v>360</v>
      </c>
      <c r="K135" s="5"/>
      <c r="L135" s="5" t="s">
        <v>154</v>
      </c>
    </row>
    <row r="136" customFormat="false" ht="15" hidden="false" customHeight="false" outlineLevel="0" collapsed="false">
      <c r="A136" s="5" t="s">
        <v>569</v>
      </c>
      <c r="B136" s="5" t="n">
        <v>3</v>
      </c>
      <c r="C136" s="5" t="s">
        <v>33</v>
      </c>
      <c r="D136" s="5" t="s">
        <v>205</v>
      </c>
      <c r="E136" s="5" t="n">
        <v>8</v>
      </c>
      <c r="F136" s="5" t="n">
        <v>465.16</v>
      </c>
      <c r="G136" s="5" t="n">
        <f aca="false">E136*F136</f>
        <v>3721.28</v>
      </c>
      <c r="H136" s="5" t="s">
        <v>570</v>
      </c>
      <c r="I136" s="5" t="s">
        <v>444</v>
      </c>
      <c r="J136" s="5" t="s">
        <v>360</v>
      </c>
      <c r="K136" s="5"/>
      <c r="L136" s="5" t="s">
        <v>154</v>
      </c>
    </row>
    <row r="137" customFormat="false" ht="15" hidden="false" customHeight="false" outlineLevel="0" collapsed="false">
      <c r="A137" s="5" t="s">
        <v>571</v>
      </c>
      <c r="B137" s="5" t="n">
        <v>1</v>
      </c>
      <c r="C137" s="5" t="s">
        <v>112</v>
      </c>
      <c r="D137" s="5" t="s">
        <v>217</v>
      </c>
      <c r="E137" s="5" t="n">
        <v>2</v>
      </c>
      <c r="F137" s="5" t="n">
        <v>314.93</v>
      </c>
      <c r="G137" s="5" t="n">
        <f aca="false">E137*F137</f>
        <v>629.86</v>
      </c>
      <c r="H137" s="5" t="s">
        <v>362</v>
      </c>
      <c r="I137" s="5" t="s">
        <v>321</v>
      </c>
      <c r="J137" s="5" t="s">
        <v>338</v>
      </c>
      <c r="K137" s="5"/>
      <c r="L137" s="5" t="s">
        <v>154</v>
      </c>
    </row>
    <row r="138" customFormat="false" ht="15" hidden="false" customHeight="false" outlineLevel="0" collapsed="false">
      <c r="A138" s="5" t="s">
        <v>572</v>
      </c>
      <c r="B138" s="5" t="n">
        <v>1</v>
      </c>
      <c r="C138" s="5" t="s">
        <v>67</v>
      </c>
      <c r="D138" s="5" t="s">
        <v>205</v>
      </c>
      <c r="E138" s="5" t="n">
        <v>1</v>
      </c>
      <c r="F138" s="5" t="n">
        <v>465.16</v>
      </c>
      <c r="G138" s="5" t="n">
        <f aca="false">E138*F138</f>
        <v>465.16</v>
      </c>
      <c r="H138" s="5" t="s">
        <v>494</v>
      </c>
      <c r="I138" s="5" t="s">
        <v>519</v>
      </c>
      <c r="J138" s="5" t="s">
        <v>322</v>
      </c>
      <c r="K138" s="5" t="s">
        <v>573</v>
      </c>
      <c r="L138" s="5" t="s">
        <v>154</v>
      </c>
    </row>
    <row r="139" customFormat="false" ht="15" hidden="false" customHeight="false" outlineLevel="0" collapsed="false">
      <c r="A139" s="5" t="s">
        <v>574</v>
      </c>
      <c r="B139" s="5" t="n">
        <v>1</v>
      </c>
      <c r="C139" s="5" t="s">
        <v>80</v>
      </c>
      <c r="D139" s="5" t="s">
        <v>265</v>
      </c>
      <c r="E139" s="5" t="n">
        <v>20</v>
      </c>
      <c r="F139" s="5" t="n">
        <v>526.58</v>
      </c>
      <c r="G139" s="5" t="n">
        <f aca="false">E139*F139</f>
        <v>10531.6</v>
      </c>
      <c r="H139" s="5" t="s">
        <v>341</v>
      </c>
      <c r="I139" s="5" t="s">
        <v>526</v>
      </c>
      <c r="J139" s="5" t="s">
        <v>322</v>
      </c>
      <c r="K139" s="5" t="s">
        <v>575</v>
      </c>
      <c r="L139" s="5" t="s">
        <v>154</v>
      </c>
    </row>
    <row r="140" customFormat="false" ht="15" hidden="false" customHeight="false" outlineLevel="0" collapsed="false">
      <c r="A140" s="5" t="s">
        <v>576</v>
      </c>
      <c r="B140" s="5" t="n">
        <v>1</v>
      </c>
      <c r="C140" s="5" t="s">
        <v>126</v>
      </c>
      <c r="D140" s="5" t="s">
        <v>253</v>
      </c>
      <c r="E140" s="5" t="n">
        <v>1</v>
      </c>
      <c r="F140" s="5" t="n">
        <v>535.46</v>
      </c>
      <c r="G140" s="5" t="n">
        <f aca="false">E140*F140</f>
        <v>535.46</v>
      </c>
      <c r="H140" s="5" t="s">
        <v>454</v>
      </c>
      <c r="I140" s="5" t="s">
        <v>577</v>
      </c>
      <c r="J140" s="5" t="s">
        <v>322</v>
      </c>
      <c r="K140" s="5" t="s">
        <v>578</v>
      </c>
      <c r="L140" s="5" t="s">
        <v>154</v>
      </c>
    </row>
    <row r="141" customFormat="false" ht="15" hidden="false" customHeight="false" outlineLevel="0" collapsed="false">
      <c r="A141" s="5" t="s">
        <v>579</v>
      </c>
      <c r="B141" s="5" t="n">
        <v>1</v>
      </c>
      <c r="C141" s="5" t="s">
        <v>112</v>
      </c>
      <c r="D141" s="5" t="s">
        <v>164</v>
      </c>
      <c r="E141" s="5" t="n">
        <v>1</v>
      </c>
      <c r="F141" s="5" t="n">
        <v>404.55</v>
      </c>
      <c r="G141" s="5" t="n">
        <f aca="false">E141*F141</f>
        <v>404.55</v>
      </c>
      <c r="H141" s="5" t="s">
        <v>538</v>
      </c>
      <c r="I141" s="5" t="s">
        <v>329</v>
      </c>
      <c r="J141" s="5" t="s">
        <v>306</v>
      </c>
      <c r="K141" s="5"/>
      <c r="L141" s="5" t="s">
        <v>154</v>
      </c>
    </row>
    <row r="142" customFormat="false" ht="15" hidden="false" customHeight="false" outlineLevel="0" collapsed="false">
      <c r="A142" s="5" t="s">
        <v>580</v>
      </c>
      <c r="B142" s="5" t="n">
        <v>1</v>
      </c>
      <c r="C142" s="5" t="s">
        <v>85</v>
      </c>
      <c r="D142" s="5" t="s">
        <v>255</v>
      </c>
      <c r="E142" s="5" t="n">
        <v>12</v>
      </c>
      <c r="F142" s="5" t="n">
        <v>238.46</v>
      </c>
      <c r="G142" s="5" t="n">
        <f aca="false">E142*F142</f>
        <v>2861.52</v>
      </c>
      <c r="H142" s="5" t="s">
        <v>437</v>
      </c>
      <c r="I142" s="5" t="s">
        <v>428</v>
      </c>
      <c r="J142" s="5" t="s">
        <v>311</v>
      </c>
      <c r="K142" s="5"/>
      <c r="L142" s="5" t="s">
        <v>154</v>
      </c>
    </row>
    <row r="143" customFormat="false" ht="15" hidden="false" customHeight="false" outlineLevel="0" collapsed="false">
      <c r="A143" s="5" t="s">
        <v>581</v>
      </c>
      <c r="B143" s="5" t="n">
        <v>1</v>
      </c>
      <c r="C143" s="5" t="s">
        <v>103</v>
      </c>
      <c r="D143" s="5" t="s">
        <v>281</v>
      </c>
      <c r="E143" s="5" t="n">
        <v>20</v>
      </c>
      <c r="F143" s="5" t="n">
        <v>480.82</v>
      </c>
      <c r="G143" s="5" t="n">
        <f aca="false">E143*F143</f>
        <v>9616.4</v>
      </c>
      <c r="H143" s="5" t="s">
        <v>412</v>
      </c>
      <c r="I143" s="5" t="s">
        <v>582</v>
      </c>
      <c r="J143" s="5" t="s">
        <v>306</v>
      </c>
      <c r="K143" s="5"/>
      <c r="L143" s="5" t="s">
        <v>154</v>
      </c>
    </row>
    <row r="144" customFormat="false" ht="15" hidden="false" customHeight="false" outlineLevel="0" collapsed="false">
      <c r="A144" s="5" t="s">
        <v>583</v>
      </c>
      <c r="B144" s="5" t="n">
        <v>1</v>
      </c>
      <c r="C144" s="5" t="s">
        <v>89</v>
      </c>
      <c r="D144" s="5" t="s">
        <v>261</v>
      </c>
      <c r="E144" s="5" t="n">
        <v>2</v>
      </c>
      <c r="F144" s="5" t="n">
        <v>431.38</v>
      </c>
      <c r="G144" s="5" t="n">
        <f aca="false">E144*F144</f>
        <v>862.76</v>
      </c>
      <c r="H144" s="5" t="s">
        <v>316</v>
      </c>
      <c r="I144" s="5" t="s">
        <v>584</v>
      </c>
      <c r="J144" s="5" t="s">
        <v>322</v>
      </c>
      <c r="K144" s="5" t="s">
        <v>585</v>
      </c>
      <c r="L144" s="5" t="s">
        <v>154</v>
      </c>
    </row>
    <row r="145" customFormat="false" ht="15" hidden="false" customHeight="false" outlineLevel="0" collapsed="false">
      <c r="A145" s="6" t="s">
        <v>586</v>
      </c>
      <c r="B145" s="6" t="n">
        <v>1</v>
      </c>
      <c r="C145" s="6" t="s">
        <v>71</v>
      </c>
      <c r="D145" s="6" t="s">
        <v>211</v>
      </c>
      <c r="E145" s="6" t="n">
        <v>4</v>
      </c>
      <c r="F145" s="6" t="n">
        <v>552.58</v>
      </c>
      <c r="G145" s="6" t="n">
        <f aca="false">E145*F145</f>
        <v>2210.32</v>
      </c>
      <c r="H145" s="6" t="s">
        <v>463</v>
      </c>
      <c r="I145" s="6" t="s">
        <v>427</v>
      </c>
      <c r="J145" s="6" t="s">
        <v>311</v>
      </c>
      <c r="K145" s="6"/>
      <c r="L145" s="6" t="s">
        <v>154</v>
      </c>
    </row>
    <row r="146" customFormat="false" ht="15" hidden="false" customHeight="false" outlineLevel="0" collapsed="false">
      <c r="A146" s="6" t="s">
        <v>587</v>
      </c>
      <c r="B146" s="6" t="n">
        <v>1</v>
      </c>
      <c r="C146" s="6" t="s">
        <v>42</v>
      </c>
      <c r="D146" s="6" t="s">
        <v>178</v>
      </c>
      <c r="E146" s="6" t="n">
        <v>6</v>
      </c>
      <c r="F146" s="6" t="n">
        <v>411.82</v>
      </c>
      <c r="G146" s="6" t="n">
        <f aca="false">E146*F146</f>
        <v>2470.92</v>
      </c>
      <c r="H146" s="6" t="s">
        <v>588</v>
      </c>
      <c r="I146" s="6" t="s">
        <v>465</v>
      </c>
      <c r="J146" s="6" t="s">
        <v>306</v>
      </c>
      <c r="K146" s="6"/>
      <c r="L146" s="6" t="s">
        <v>154</v>
      </c>
    </row>
    <row r="147" customFormat="false" ht="15" hidden="false" customHeight="false" outlineLevel="0" collapsed="false">
      <c r="A147" s="6" t="s">
        <v>589</v>
      </c>
      <c r="B147" s="6" t="n">
        <v>1</v>
      </c>
      <c r="C147" s="6" t="s">
        <v>134</v>
      </c>
      <c r="D147" s="6" t="s">
        <v>285</v>
      </c>
      <c r="E147" s="6" t="n">
        <v>2</v>
      </c>
      <c r="F147" s="6" t="n">
        <v>287.44</v>
      </c>
      <c r="G147" s="6" t="n">
        <f aca="false">E147*F147</f>
        <v>574.88</v>
      </c>
      <c r="H147" s="6" t="s">
        <v>365</v>
      </c>
      <c r="I147" s="6" t="s">
        <v>414</v>
      </c>
      <c r="J147" s="6" t="s">
        <v>311</v>
      </c>
      <c r="K147" s="6"/>
      <c r="L147" s="6" t="s">
        <v>154</v>
      </c>
    </row>
    <row r="148" customFormat="false" ht="15" hidden="false" customHeight="false" outlineLevel="0" collapsed="false">
      <c r="A148" s="6" t="s">
        <v>590</v>
      </c>
      <c r="B148" s="6" t="n">
        <v>1</v>
      </c>
      <c r="C148" s="6" t="s">
        <v>591</v>
      </c>
      <c r="D148" s="6" t="s">
        <v>222</v>
      </c>
      <c r="E148" s="6" t="n">
        <v>3</v>
      </c>
      <c r="F148" s="6" t="n">
        <v>195.52</v>
      </c>
      <c r="G148" s="6" t="n">
        <f aca="false">E148*F148</f>
        <v>586.56</v>
      </c>
      <c r="H148" s="6" t="s">
        <v>457</v>
      </c>
      <c r="I148" s="6" t="s">
        <v>592</v>
      </c>
      <c r="J148" s="6" t="s">
        <v>306</v>
      </c>
      <c r="K148" s="6"/>
      <c r="L148" s="6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4" t="s">
        <v>302</v>
      </c>
      <c r="B1" s="4" t="s">
        <v>295</v>
      </c>
      <c r="C1" s="4" t="s">
        <v>23</v>
      </c>
      <c r="D1" s="4" t="s">
        <v>593</v>
      </c>
      <c r="E1" s="4" t="s">
        <v>594</v>
      </c>
      <c r="F1" s="4" t="s">
        <v>595</v>
      </c>
      <c r="G1" s="4" t="s">
        <v>596</v>
      </c>
      <c r="H1" s="4" t="s">
        <v>597</v>
      </c>
      <c r="I1" s="4" t="s">
        <v>598</v>
      </c>
      <c r="J1" s="4" t="s">
        <v>599</v>
      </c>
    </row>
    <row r="2" customFormat="false" ht="15" hidden="false" customHeight="false" outlineLevel="0" collapsed="false">
      <c r="A2" s="6" t="s">
        <v>323</v>
      </c>
      <c r="B2" s="6" t="s">
        <v>319</v>
      </c>
      <c r="C2" s="6" t="s">
        <v>103</v>
      </c>
      <c r="D2" s="6" t="s">
        <v>600</v>
      </c>
      <c r="E2" s="6" t="s">
        <v>382</v>
      </c>
      <c r="F2" s="6" t="s">
        <v>601</v>
      </c>
      <c r="G2" s="6"/>
      <c r="H2" s="6" t="s">
        <v>602</v>
      </c>
      <c r="I2" s="6" t="s">
        <v>603</v>
      </c>
      <c r="J2" s="6" t="n">
        <v>8</v>
      </c>
    </row>
    <row r="3" customFormat="false" ht="15" hidden="false" customHeight="false" outlineLevel="0" collapsed="false">
      <c r="A3" s="5" t="s">
        <v>334</v>
      </c>
      <c r="B3" s="5" t="s">
        <v>330</v>
      </c>
      <c r="C3" s="5" t="s">
        <v>119</v>
      </c>
      <c r="D3" s="5" t="s">
        <v>604</v>
      </c>
      <c r="E3" s="5" t="s">
        <v>605</v>
      </c>
      <c r="F3" s="5" t="s">
        <v>405</v>
      </c>
      <c r="G3" s="5"/>
      <c r="H3" s="5" t="s">
        <v>606</v>
      </c>
      <c r="I3" s="5" t="s">
        <v>607</v>
      </c>
      <c r="J3" s="5" t="n">
        <v>8</v>
      </c>
    </row>
    <row r="4" customFormat="false" ht="15" hidden="false" customHeight="false" outlineLevel="0" collapsed="false">
      <c r="A4" s="5" t="s">
        <v>349</v>
      </c>
      <c r="B4" s="5" t="s">
        <v>346</v>
      </c>
      <c r="C4" s="5" t="s">
        <v>89</v>
      </c>
      <c r="D4" s="5" t="s">
        <v>608</v>
      </c>
      <c r="E4" s="5" t="s">
        <v>504</v>
      </c>
      <c r="F4" s="5" t="s">
        <v>326</v>
      </c>
      <c r="G4" s="5"/>
      <c r="H4" s="5" t="s">
        <v>609</v>
      </c>
      <c r="I4" s="5" t="s">
        <v>610</v>
      </c>
      <c r="J4" s="5" t="n">
        <v>1</v>
      </c>
    </row>
    <row r="5" customFormat="false" ht="15" hidden="false" customHeight="false" outlineLevel="0" collapsed="false">
      <c r="A5" s="6" t="s">
        <v>353</v>
      </c>
      <c r="B5" s="6" t="s">
        <v>350</v>
      </c>
      <c r="C5" s="6" t="s">
        <v>75</v>
      </c>
      <c r="D5" s="6" t="s">
        <v>600</v>
      </c>
      <c r="E5" s="6" t="s">
        <v>611</v>
      </c>
      <c r="F5" s="6" t="s">
        <v>451</v>
      </c>
      <c r="G5" s="6" t="s">
        <v>502</v>
      </c>
      <c r="H5" s="6" t="s">
        <v>322</v>
      </c>
      <c r="I5" s="6" t="s">
        <v>612</v>
      </c>
      <c r="J5" s="6" t="n">
        <v>2</v>
      </c>
    </row>
    <row r="6" customFormat="false" ht="15" hidden="false" customHeight="false" outlineLevel="0" collapsed="false">
      <c r="A6" s="5" t="s">
        <v>380</v>
      </c>
      <c r="B6" s="5" t="s">
        <v>378</v>
      </c>
      <c r="C6" s="5" t="s">
        <v>103</v>
      </c>
      <c r="D6" s="5" t="s">
        <v>613</v>
      </c>
      <c r="E6" s="5" t="s">
        <v>471</v>
      </c>
      <c r="F6" s="5" t="s">
        <v>366</v>
      </c>
      <c r="G6" s="5"/>
      <c r="H6" s="5" t="s">
        <v>609</v>
      </c>
      <c r="I6" s="5" t="s">
        <v>614</v>
      </c>
      <c r="J6" s="5" t="n">
        <v>10</v>
      </c>
    </row>
    <row r="7" customFormat="false" ht="15" hidden="false" customHeight="false" outlineLevel="0" collapsed="false">
      <c r="A7" s="5" t="s">
        <v>383</v>
      </c>
      <c r="B7" s="5" t="s">
        <v>381</v>
      </c>
      <c r="C7" s="5" t="s">
        <v>89</v>
      </c>
      <c r="D7" s="5" t="s">
        <v>613</v>
      </c>
      <c r="E7" s="5" t="s">
        <v>362</v>
      </c>
      <c r="F7" s="5" t="s">
        <v>549</v>
      </c>
      <c r="G7" s="5" t="s">
        <v>549</v>
      </c>
      <c r="H7" s="5" t="s">
        <v>322</v>
      </c>
      <c r="I7" s="5" t="s">
        <v>615</v>
      </c>
      <c r="J7" s="5" t="n">
        <v>20</v>
      </c>
    </row>
    <row r="8" customFormat="false" ht="15" hidden="false" customHeight="false" outlineLevel="0" collapsed="false">
      <c r="A8" s="5" t="s">
        <v>386</v>
      </c>
      <c r="B8" s="5" t="s">
        <v>384</v>
      </c>
      <c r="C8" s="5" t="s">
        <v>115</v>
      </c>
      <c r="D8" s="5" t="s">
        <v>604</v>
      </c>
      <c r="E8" s="5" t="s">
        <v>499</v>
      </c>
      <c r="F8" s="5" t="s">
        <v>616</v>
      </c>
      <c r="G8" s="5" t="s">
        <v>461</v>
      </c>
      <c r="H8" s="5" t="s">
        <v>322</v>
      </c>
      <c r="I8" s="5" t="s">
        <v>617</v>
      </c>
      <c r="J8" s="5" t="n">
        <v>10</v>
      </c>
    </row>
    <row r="9" customFormat="false" ht="15" hidden="false" customHeight="false" outlineLevel="0" collapsed="false">
      <c r="A9" s="5" t="s">
        <v>399</v>
      </c>
      <c r="B9" s="5" t="s">
        <v>396</v>
      </c>
      <c r="C9" s="5" t="s">
        <v>80</v>
      </c>
      <c r="D9" s="5" t="s">
        <v>604</v>
      </c>
      <c r="E9" s="5" t="s">
        <v>385</v>
      </c>
      <c r="F9" s="5" t="s">
        <v>506</v>
      </c>
      <c r="G9" s="5"/>
      <c r="H9" s="5" t="s">
        <v>609</v>
      </c>
      <c r="I9" s="5" t="s">
        <v>618</v>
      </c>
      <c r="J9" s="5" t="n">
        <v>20</v>
      </c>
    </row>
    <row r="10" customFormat="false" ht="15" hidden="false" customHeight="false" outlineLevel="0" collapsed="false">
      <c r="A10" s="5" t="s">
        <v>408</v>
      </c>
      <c r="B10" s="5" t="s">
        <v>406</v>
      </c>
      <c r="C10" s="5" t="s">
        <v>42</v>
      </c>
      <c r="D10" s="5" t="s">
        <v>600</v>
      </c>
      <c r="E10" s="5" t="s">
        <v>528</v>
      </c>
      <c r="F10" s="5" t="s">
        <v>552</v>
      </c>
      <c r="G10" s="5"/>
      <c r="H10" s="5" t="s">
        <v>606</v>
      </c>
      <c r="I10" s="5" t="s">
        <v>619</v>
      </c>
      <c r="J10" s="5" t="n">
        <v>15</v>
      </c>
    </row>
    <row r="11" customFormat="false" ht="15" hidden="false" customHeight="false" outlineLevel="0" collapsed="false">
      <c r="A11" s="5" t="s">
        <v>416</v>
      </c>
      <c r="B11" s="5" t="s">
        <v>413</v>
      </c>
      <c r="C11" s="5" t="s">
        <v>60</v>
      </c>
      <c r="D11" s="5" t="s">
        <v>608</v>
      </c>
      <c r="E11" s="5" t="s">
        <v>366</v>
      </c>
      <c r="F11" s="5" t="s">
        <v>432</v>
      </c>
      <c r="G11" s="5"/>
      <c r="H11" s="5" t="s">
        <v>609</v>
      </c>
      <c r="I11" s="5" t="s">
        <v>620</v>
      </c>
      <c r="J11" s="5" t="n">
        <v>10</v>
      </c>
    </row>
    <row r="12" customFormat="false" ht="15" hidden="false" customHeight="false" outlineLevel="0" collapsed="false">
      <c r="A12" s="5" t="s">
        <v>424</v>
      </c>
      <c r="B12" s="5" t="s">
        <v>421</v>
      </c>
      <c r="C12" s="5" t="s">
        <v>75</v>
      </c>
      <c r="D12" s="5" t="s">
        <v>608</v>
      </c>
      <c r="E12" s="5" t="s">
        <v>426</v>
      </c>
      <c r="F12" s="5" t="s">
        <v>412</v>
      </c>
      <c r="G12" s="5" t="s">
        <v>588</v>
      </c>
      <c r="H12" s="5" t="s">
        <v>322</v>
      </c>
      <c r="I12" s="5" t="s">
        <v>621</v>
      </c>
      <c r="J12" s="5" t="n">
        <v>4</v>
      </c>
    </row>
    <row r="13" customFormat="false" ht="15" hidden="false" customHeight="false" outlineLevel="0" collapsed="false">
      <c r="A13" s="5" t="s">
        <v>435</v>
      </c>
      <c r="B13" s="5" t="s">
        <v>433</v>
      </c>
      <c r="C13" s="5" t="s">
        <v>134</v>
      </c>
      <c r="D13" s="5" t="s">
        <v>600</v>
      </c>
      <c r="E13" s="5" t="s">
        <v>622</v>
      </c>
      <c r="F13" s="5" t="s">
        <v>623</v>
      </c>
      <c r="G13" s="5"/>
      <c r="H13" s="5" t="s">
        <v>606</v>
      </c>
      <c r="I13" s="5" t="s">
        <v>624</v>
      </c>
      <c r="J13" s="5" t="n">
        <v>8</v>
      </c>
    </row>
    <row r="14" customFormat="false" ht="15" hidden="false" customHeight="false" outlineLevel="0" collapsed="false">
      <c r="A14" s="5" t="s">
        <v>438</v>
      </c>
      <c r="B14" s="5" t="s">
        <v>436</v>
      </c>
      <c r="C14" s="5" t="s">
        <v>123</v>
      </c>
      <c r="D14" s="5" t="s">
        <v>613</v>
      </c>
      <c r="E14" s="5" t="s">
        <v>463</v>
      </c>
      <c r="F14" s="5" t="s">
        <v>359</v>
      </c>
      <c r="G14" s="5" t="s">
        <v>474</v>
      </c>
      <c r="H14" s="5" t="s">
        <v>322</v>
      </c>
      <c r="I14" s="5" t="s">
        <v>625</v>
      </c>
      <c r="J14" s="5" t="n">
        <v>2</v>
      </c>
    </row>
    <row r="15" customFormat="false" ht="15" hidden="false" customHeight="false" outlineLevel="0" collapsed="false">
      <c r="A15" s="5" t="s">
        <v>442</v>
      </c>
      <c r="B15" s="5" t="s">
        <v>439</v>
      </c>
      <c r="C15" s="5" t="s">
        <v>112</v>
      </c>
      <c r="D15" s="5" t="s">
        <v>608</v>
      </c>
      <c r="E15" s="5" t="s">
        <v>344</v>
      </c>
      <c r="F15" s="5" t="s">
        <v>498</v>
      </c>
      <c r="G15" s="5" t="s">
        <v>355</v>
      </c>
      <c r="H15" s="5" t="s">
        <v>322</v>
      </c>
      <c r="I15" s="5" t="s">
        <v>626</v>
      </c>
      <c r="J15" s="5" t="n">
        <v>5</v>
      </c>
    </row>
    <row r="16" customFormat="false" ht="15" hidden="false" customHeight="false" outlineLevel="0" collapsed="false">
      <c r="A16" s="5" t="s">
        <v>449</v>
      </c>
      <c r="B16" s="5" t="s">
        <v>448</v>
      </c>
      <c r="C16" s="5" t="s">
        <v>103</v>
      </c>
      <c r="D16" s="5" t="s">
        <v>608</v>
      </c>
      <c r="E16" s="5" t="s">
        <v>601</v>
      </c>
      <c r="F16" s="5" t="s">
        <v>355</v>
      </c>
      <c r="G16" s="5"/>
      <c r="H16" s="5" t="s">
        <v>609</v>
      </c>
      <c r="I16" s="5" t="s">
        <v>627</v>
      </c>
      <c r="J16" s="5" t="n">
        <v>12</v>
      </c>
    </row>
    <row r="17" customFormat="false" ht="15" hidden="false" customHeight="false" outlineLevel="0" collapsed="false">
      <c r="A17" s="5" t="s">
        <v>455</v>
      </c>
      <c r="B17" s="5" t="s">
        <v>452</v>
      </c>
      <c r="C17" s="5" t="s">
        <v>85</v>
      </c>
      <c r="D17" s="5" t="s">
        <v>604</v>
      </c>
      <c r="E17" s="5" t="s">
        <v>628</v>
      </c>
      <c r="F17" s="5" t="s">
        <v>538</v>
      </c>
      <c r="G17" s="5" t="s">
        <v>629</v>
      </c>
      <c r="H17" s="5" t="s">
        <v>322</v>
      </c>
      <c r="I17" s="5" t="s">
        <v>630</v>
      </c>
      <c r="J17" s="5" t="n">
        <v>1</v>
      </c>
    </row>
    <row r="18" customFormat="false" ht="15" hidden="false" customHeight="false" outlineLevel="0" collapsed="false">
      <c r="A18" s="5" t="s">
        <v>464</v>
      </c>
      <c r="B18" s="5" t="s">
        <v>462</v>
      </c>
      <c r="C18" s="5" t="s">
        <v>138</v>
      </c>
      <c r="D18" s="5" t="s">
        <v>600</v>
      </c>
      <c r="E18" s="5" t="s">
        <v>402</v>
      </c>
      <c r="F18" s="5" t="s">
        <v>428</v>
      </c>
      <c r="G18" s="5"/>
      <c r="H18" s="5" t="s">
        <v>606</v>
      </c>
      <c r="I18" s="5" t="s">
        <v>631</v>
      </c>
      <c r="J18" s="5" t="n">
        <v>22</v>
      </c>
    </row>
    <row r="19" customFormat="false" ht="15" hidden="false" customHeight="false" outlineLevel="0" collapsed="false">
      <c r="A19" s="5" t="s">
        <v>470</v>
      </c>
      <c r="B19" s="5" t="s">
        <v>468</v>
      </c>
      <c r="C19" s="5" t="s">
        <v>96</v>
      </c>
      <c r="D19" s="5" t="s">
        <v>613</v>
      </c>
      <c r="E19" s="5" t="s">
        <v>494</v>
      </c>
      <c r="F19" s="5" t="s">
        <v>451</v>
      </c>
      <c r="G19" s="5" t="s">
        <v>337</v>
      </c>
      <c r="H19" s="5" t="s">
        <v>322</v>
      </c>
      <c r="I19" s="5" t="s">
        <v>632</v>
      </c>
      <c r="J19" s="5" t="n">
        <v>22</v>
      </c>
    </row>
    <row r="20" customFormat="false" ht="15" hidden="false" customHeight="false" outlineLevel="0" collapsed="false">
      <c r="A20" s="5" t="s">
        <v>479</v>
      </c>
      <c r="B20" s="5" t="s">
        <v>478</v>
      </c>
      <c r="C20" s="5" t="s">
        <v>75</v>
      </c>
      <c r="D20" s="5" t="s">
        <v>600</v>
      </c>
      <c r="E20" s="5" t="s">
        <v>419</v>
      </c>
      <c r="F20" s="5" t="s">
        <v>321</v>
      </c>
      <c r="G20" s="5" t="s">
        <v>601</v>
      </c>
      <c r="H20" s="5" t="s">
        <v>322</v>
      </c>
      <c r="I20" s="5" t="s">
        <v>633</v>
      </c>
      <c r="J20" s="5" t="n">
        <v>4</v>
      </c>
    </row>
    <row r="21" customFormat="false" ht="15" hidden="false" customHeight="false" outlineLevel="0" collapsed="false">
      <c r="A21" s="5" t="s">
        <v>483</v>
      </c>
      <c r="B21" s="5" t="s">
        <v>480</v>
      </c>
      <c r="C21" s="5" t="s">
        <v>42</v>
      </c>
      <c r="D21" s="5" t="s">
        <v>604</v>
      </c>
      <c r="E21" s="5" t="s">
        <v>634</v>
      </c>
      <c r="F21" s="5" t="s">
        <v>473</v>
      </c>
      <c r="G21" s="5"/>
      <c r="H21" s="5" t="s">
        <v>606</v>
      </c>
      <c r="I21" s="5" t="s">
        <v>635</v>
      </c>
      <c r="J21" s="5" t="n">
        <v>1</v>
      </c>
    </row>
    <row r="22" customFormat="false" ht="15" hidden="false" customHeight="false" outlineLevel="0" collapsed="false">
      <c r="A22" s="5" t="s">
        <v>493</v>
      </c>
      <c r="B22" s="5" t="s">
        <v>491</v>
      </c>
      <c r="C22" s="5" t="s">
        <v>126</v>
      </c>
      <c r="D22" s="5" t="s">
        <v>608</v>
      </c>
      <c r="E22" s="5" t="s">
        <v>512</v>
      </c>
      <c r="F22" s="5" t="s">
        <v>351</v>
      </c>
      <c r="G22" s="5"/>
      <c r="H22" s="5" t="s">
        <v>609</v>
      </c>
      <c r="I22" s="5" t="s">
        <v>636</v>
      </c>
      <c r="J22" s="5" t="n">
        <v>11</v>
      </c>
    </row>
    <row r="23" customFormat="false" ht="15" hidden="false" customHeight="false" outlineLevel="0" collapsed="false">
      <c r="A23" s="5" t="s">
        <v>507</v>
      </c>
      <c r="B23" s="5" t="s">
        <v>505</v>
      </c>
      <c r="C23" s="5" t="s">
        <v>89</v>
      </c>
      <c r="D23" s="5" t="s">
        <v>613</v>
      </c>
      <c r="E23" s="5" t="s">
        <v>389</v>
      </c>
      <c r="F23" s="5" t="s">
        <v>516</v>
      </c>
      <c r="G23" s="5" t="s">
        <v>637</v>
      </c>
      <c r="H23" s="5" t="s">
        <v>322</v>
      </c>
      <c r="I23" s="5" t="s">
        <v>638</v>
      </c>
      <c r="J23" s="5" t="n">
        <v>15</v>
      </c>
    </row>
    <row r="24" customFormat="false" ht="15" hidden="false" customHeight="false" outlineLevel="0" collapsed="false">
      <c r="A24" s="5" t="s">
        <v>513</v>
      </c>
      <c r="B24" s="5" t="s">
        <v>511</v>
      </c>
      <c r="C24" s="5" t="s">
        <v>103</v>
      </c>
      <c r="D24" s="5" t="s">
        <v>600</v>
      </c>
      <c r="E24" s="5" t="s">
        <v>639</v>
      </c>
      <c r="F24" s="5" t="s">
        <v>340</v>
      </c>
      <c r="G24" s="5"/>
      <c r="H24" s="5" t="s">
        <v>606</v>
      </c>
      <c r="I24" s="5" t="s">
        <v>640</v>
      </c>
      <c r="J24" s="5" t="n">
        <v>1</v>
      </c>
    </row>
    <row r="25" customFormat="false" ht="15" hidden="false" customHeight="false" outlineLevel="0" collapsed="false">
      <c r="A25" s="5" t="s">
        <v>517</v>
      </c>
      <c r="B25" s="5" t="s">
        <v>515</v>
      </c>
      <c r="C25" s="5" t="s">
        <v>126</v>
      </c>
      <c r="D25" s="5" t="s">
        <v>600</v>
      </c>
      <c r="E25" s="5" t="s">
        <v>641</v>
      </c>
      <c r="F25" s="5" t="s">
        <v>398</v>
      </c>
      <c r="G25" s="5" t="s">
        <v>533</v>
      </c>
      <c r="H25" s="5" t="s">
        <v>322</v>
      </c>
      <c r="I25" s="5" t="s">
        <v>642</v>
      </c>
      <c r="J25" s="5" t="n">
        <v>12</v>
      </c>
    </row>
    <row r="26" customFormat="false" ht="15" hidden="false" customHeight="false" outlineLevel="0" collapsed="false">
      <c r="A26" s="5" t="s">
        <v>527</v>
      </c>
      <c r="B26" s="5" t="s">
        <v>525</v>
      </c>
      <c r="C26" s="5" t="s">
        <v>75</v>
      </c>
      <c r="D26" s="5" t="s">
        <v>604</v>
      </c>
      <c r="E26" s="5" t="s">
        <v>366</v>
      </c>
      <c r="F26" s="5" t="s">
        <v>432</v>
      </c>
      <c r="G26" s="5" t="s">
        <v>554</v>
      </c>
      <c r="H26" s="5" t="s">
        <v>322</v>
      </c>
      <c r="I26" s="5" t="s">
        <v>643</v>
      </c>
      <c r="J26" s="5" t="n">
        <v>8</v>
      </c>
    </row>
    <row r="27" customFormat="false" ht="15" hidden="false" customHeight="false" outlineLevel="0" collapsed="false">
      <c r="A27" s="5" t="s">
        <v>530</v>
      </c>
      <c r="B27" s="5" t="s">
        <v>529</v>
      </c>
      <c r="C27" s="5" t="s">
        <v>54</v>
      </c>
      <c r="D27" s="5" t="s">
        <v>613</v>
      </c>
      <c r="E27" s="5" t="s">
        <v>423</v>
      </c>
      <c r="F27" s="5" t="s">
        <v>605</v>
      </c>
      <c r="G27" s="5" t="s">
        <v>582</v>
      </c>
      <c r="H27" s="5" t="s">
        <v>322</v>
      </c>
      <c r="I27" s="5" t="s">
        <v>644</v>
      </c>
      <c r="J27" s="5" t="n">
        <v>1</v>
      </c>
    </row>
    <row r="28" customFormat="false" ht="15" hidden="false" customHeight="false" outlineLevel="0" collapsed="false">
      <c r="A28" s="5" t="s">
        <v>540</v>
      </c>
      <c r="B28" s="5" t="s">
        <v>539</v>
      </c>
      <c r="C28" s="5" t="s">
        <v>89</v>
      </c>
      <c r="D28" s="5" t="s">
        <v>613</v>
      </c>
      <c r="E28" s="5" t="s">
        <v>402</v>
      </c>
      <c r="F28" s="5" t="s">
        <v>428</v>
      </c>
      <c r="G28" s="5" t="s">
        <v>423</v>
      </c>
      <c r="H28" s="5" t="s">
        <v>322</v>
      </c>
      <c r="I28" s="5" t="s">
        <v>645</v>
      </c>
      <c r="J28" s="5" t="n">
        <v>1</v>
      </c>
    </row>
    <row r="29" customFormat="false" ht="15" hidden="false" customHeight="false" outlineLevel="0" collapsed="false">
      <c r="A29" s="5" t="s">
        <v>550</v>
      </c>
      <c r="B29" s="5" t="s">
        <v>548</v>
      </c>
      <c r="C29" s="5" t="s">
        <v>85</v>
      </c>
      <c r="D29" s="5" t="s">
        <v>608</v>
      </c>
      <c r="E29" s="5" t="s">
        <v>646</v>
      </c>
      <c r="F29" s="5" t="s">
        <v>544</v>
      </c>
      <c r="G29" s="5" t="s">
        <v>348</v>
      </c>
      <c r="H29" s="5" t="s">
        <v>322</v>
      </c>
      <c r="I29" s="5" t="s">
        <v>647</v>
      </c>
      <c r="J29" s="5" t="n">
        <v>12</v>
      </c>
    </row>
    <row r="30" customFormat="false" ht="15" hidden="false" customHeight="false" outlineLevel="0" collapsed="false">
      <c r="A30" s="5" t="s">
        <v>553</v>
      </c>
      <c r="B30" s="5" t="s">
        <v>551</v>
      </c>
      <c r="C30" s="5" t="s">
        <v>54</v>
      </c>
      <c r="D30" s="5" t="s">
        <v>613</v>
      </c>
      <c r="E30" s="5" t="s">
        <v>648</v>
      </c>
      <c r="F30" s="5" t="s">
        <v>315</v>
      </c>
      <c r="G30" s="5" t="s">
        <v>432</v>
      </c>
      <c r="H30" s="5" t="s">
        <v>322</v>
      </c>
      <c r="I30" s="5" t="s">
        <v>649</v>
      </c>
      <c r="J30" s="5" t="n">
        <v>5</v>
      </c>
    </row>
    <row r="31" customFormat="false" ht="15" hidden="false" customHeight="false" outlineLevel="0" collapsed="false">
      <c r="A31" s="5" t="s">
        <v>556</v>
      </c>
      <c r="B31" s="5" t="s">
        <v>555</v>
      </c>
      <c r="C31" s="5" t="s">
        <v>60</v>
      </c>
      <c r="D31" s="5" t="s">
        <v>604</v>
      </c>
      <c r="E31" s="5" t="s">
        <v>650</v>
      </c>
      <c r="F31" s="5" t="s">
        <v>622</v>
      </c>
      <c r="G31" s="5" t="s">
        <v>650</v>
      </c>
      <c r="H31" s="5" t="s">
        <v>322</v>
      </c>
      <c r="I31" s="5" t="s">
        <v>651</v>
      </c>
      <c r="J31" s="5" t="n">
        <v>5</v>
      </c>
    </row>
    <row r="32" customFormat="false" ht="15" hidden="false" customHeight="false" outlineLevel="0" collapsed="false">
      <c r="A32" s="5" t="s">
        <v>559</v>
      </c>
      <c r="B32" s="5" t="s">
        <v>558</v>
      </c>
      <c r="C32" s="5" t="s">
        <v>42</v>
      </c>
      <c r="D32" s="5" t="s">
        <v>608</v>
      </c>
      <c r="E32" s="5" t="s">
        <v>431</v>
      </c>
      <c r="F32" s="5" t="s">
        <v>313</v>
      </c>
      <c r="G32" s="5" t="s">
        <v>313</v>
      </c>
      <c r="H32" s="5" t="s">
        <v>322</v>
      </c>
      <c r="I32" s="5" t="s">
        <v>652</v>
      </c>
      <c r="J32" s="5" t="n">
        <v>20</v>
      </c>
    </row>
    <row r="33" customFormat="false" ht="15" hidden="false" customHeight="false" outlineLevel="0" collapsed="false">
      <c r="A33" s="5" t="s">
        <v>561</v>
      </c>
      <c r="B33" s="5" t="s">
        <v>560</v>
      </c>
      <c r="C33" s="5" t="s">
        <v>100</v>
      </c>
      <c r="D33" s="5" t="s">
        <v>613</v>
      </c>
      <c r="E33" s="5" t="s">
        <v>316</v>
      </c>
      <c r="F33" s="5" t="s">
        <v>305</v>
      </c>
      <c r="G33" s="5" t="s">
        <v>584</v>
      </c>
      <c r="H33" s="5" t="s">
        <v>322</v>
      </c>
      <c r="I33" s="5" t="s">
        <v>653</v>
      </c>
      <c r="J33" s="5" t="n">
        <v>4</v>
      </c>
    </row>
    <row r="34" customFormat="false" ht="15" hidden="false" customHeight="false" outlineLevel="0" collapsed="false">
      <c r="A34" s="5" t="s">
        <v>563</v>
      </c>
      <c r="B34" s="5" t="s">
        <v>562</v>
      </c>
      <c r="C34" s="5" t="s">
        <v>75</v>
      </c>
      <c r="D34" s="5" t="s">
        <v>604</v>
      </c>
      <c r="E34" s="5" t="s">
        <v>431</v>
      </c>
      <c r="F34" s="5" t="s">
        <v>654</v>
      </c>
      <c r="G34" s="5" t="s">
        <v>654</v>
      </c>
      <c r="H34" s="5" t="s">
        <v>322</v>
      </c>
      <c r="I34" s="5" t="s">
        <v>655</v>
      </c>
      <c r="J34" s="5" t="n">
        <v>4</v>
      </c>
    </row>
    <row r="35" customFormat="false" ht="15" hidden="false" customHeight="false" outlineLevel="0" collapsed="false">
      <c r="A35" s="5" t="s">
        <v>573</v>
      </c>
      <c r="B35" s="5" t="s">
        <v>572</v>
      </c>
      <c r="C35" s="5" t="s">
        <v>67</v>
      </c>
      <c r="D35" s="5" t="s">
        <v>613</v>
      </c>
      <c r="E35" s="5" t="s">
        <v>370</v>
      </c>
      <c r="F35" s="5" t="s">
        <v>431</v>
      </c>
      <c r="G35" s="5" t="s">
        <v>431</v>
      </c>
      <c r="H35" s="5" t="s">
        <v>322</v>
      </c>
      <c r="I35" s="5" t="s">
        <v>656</v>
      </c>
      <c r="J35" s="5" t="n">
        <v>1</v>
      </c>
    </row>
    <row r="36" customFormat="false" ht="15" hidden="false" customHeight="false" outlineLevel="0" collapsed="false">
      <c r="A36" s="5" t="s">
        <v>575</v>
      </c>
      <c r="B36" s="5" t="s">
        <v>574</v>
      </c>
      <c r="C36" s="5" t="s">
        <v>80</v>
      </c>
      <c r="D36" s="5" t="s">
        <v>608</v>
      </c>
      <c r="E36" s="5" t="s">
        <v>471</v>
      </c>
      <c r="F36" s="5" t="s">
        <v>657</v>
      </c>
      <c r="G36" s="5" t="s">
        <v>352</v>
      </c>
      <c r="H36" s="5" t="s">
        <v>322</v>
      </c>
      <c r="I36" s="5" t="s">
        <v>658</v>
      </c>
      <c r="J36" s="5" t="n">
        <v>20</v>
      </c>
    </row>
    <row r="37" customFormat="false" ht="15" hidden="false" customHeight="false" outlineLevel="0" collapsed="false">
      <c r="A37" s="5" t="s">
        <v>578</v>
      </c>
      <c r="B37" s="5" t="s">
        <v>576</v>
      </c>
      <c r="C37" s="5" t="s">
        <v>126</v>
      </c>
      <c r="D37" s="5" t="s">
        <v>613</v>
      </c>
      <c r="E37" s="5" t="s">
        <v>486</v>
      </c>
      <c r="F37" s="5" t="s">
        <v>659</v>
      </c>
      <c r="G37" s="5" t="s">
        <v>577</v>
      </c>
      <c r="H37" s="5" t="s">
        <v>322</v>
      </c>
      <c r="I37" s="5" t="s">
        <v>660</v>
      </c>
      <c r="J37" s="5" t="n">
        <v>1</v>
      </c>
    </row>
    <row r="38" customFormat="false" ht="15" hidden="false" customHeight="false" outlineLevel="0" collapsed="false">
      <c r="A38" s="5" t="s">
        <v>585</v>
      </c>
      <c r="B38" s="5" t="s">
        <v>583</v>
      </c>
      <c r="C38" s="5" t="s">
        <v>89</v>
      </c>
      <c r="D38" s="5" t="s">
        <v>613</v>
      </c>
      <c r="E38" s="5" t="s">
        <v>485</v>
      </c>
      <c r="F38" s="5" t="s">
        <v>538</v>
      </c>
      <c r="G38" s="5" t="s">
        <v>305</v>
      </c>
      <c r="H38" s="5" t="s">
        <v>322</v>
      </c>
      <c r="I38" s="5" t="s">
        <v>661</v>
      </c>
      <c r="J38" s="5" t="n">
        <v>2</v>
      </c>
    </row>
    <row r="39" customFormat="false" ht="15" hidden="false" customHeight="false" outlineLevel="0" collapsed="false">
      <c r="A39" s="6" t="s">
        <v>312</v>
      </c>
      <c r="B39" s="6" t="s">
        <v>308</v>
      </c>
      <c r="C39" s="6" t="s">
        <v>60</v>
      </c>
      <c r="D39" s="6" t="s">
        <v>604</v>
      </c>
      <c r="E39" s="6" t="s">
        <v>502</v>
      </c>
      <c r="F39" s="6" t="s">
        <v>340</v>
      </c>
      <c r="G39" s="6" t="s">
        <v>469</v>
      </c>
      <c r="H39" s="6" t="s">
        <v>322</v>
      </c>
      <c r="I39" s="6" t="s">
        <v>662</v>
      </c>
      <c r="J39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21"/>
  </cols>
  <sheetData>
    <row r="1" customFormat="false" ht="15" hidden="false" customHeight="false" outlineLevel="0" collapsed="false">
      <c r="A1" s="4" t="s">
        <v>663</v>
      </c>
      <c r="B1" s="4" t="s">
        <v>664</v>
      </c>
      <c r="C1" s="4" t="s">
        <v>23</v>
      </c>
      <c r="D1" s="4" t="s">
        <v>141</v>
      </c>
      <c r="E1" s="4" t="s">
        <v>295</v>
      </c>
      <c r="F1" s="4" t="s">
        <v>665</v>
      </c>
      <c r="G1" s="4" t="s">
        <v>666</v>
      </c>
      <c r="H1" s="4" t="s">
        <v>667</v>
      </c>
      <c r="I1" s="4" t="s">
        <v>668</v>
      </c>
      <c r="J1" s="4" t="s">
        <v>669</v>
      </c>
      <c r="K1" s="4" t="s">
        <v>670</v>
      </c>
      <c r="L1" s="4" t="s">
        <v>671</v>
      </c>
    </row>
    <row r="2" customFormat="false" ht="15" hidden="false" customHeight="false" outlineLevel="0" collapsed="false">
      <c r="A2" s="5" t="s">
        <v>672</v>
      </c>
      <c r="B2" s="5" t="s">
        <v>673</v>
      </c>
      <c r="C2" s="5" t="s">
        <v>54</v>
      </c>
      <c r="D2" s="5" t="s">
        <v>209</v>
      </c>
      <c r="E2" s="5" t="s">
        <v>551</v>
      </c>
      <c r="F2" s="5" t="n">
        <v>2</v>
      </c>
      <c r="G2" s="5" t="s">
        <v>352</v>
      </c>
      <c r="H2" s="5" t="s">
        <v>362</v>
      </c>
      <c r="I2" s="5" t="s">
        <v>311</v>
      </c>
      <c r="J2" s="5" t="s">
        <v>674</v>
      </c>
      <c r="K2" s="5" t="n">
        <v>380.1</v>
      </c>
      <c r="L2" s="5" t="s">
        <v>675</v>
      </c>
    </row>
    <row r="3" customFormat="false" ht="15" hidden="false" customHeight="false" outlineLevel="0" collapsed="false">
      <c r="A3" s="5" t="s">
        <v>676</v>
      </c>
      <c r="B3" s="5" t="s">
        <v>673</v>
      </c>
      <c r="C3" s="5" t="s">
        <v>89</v>
      </c>
      <c r="D3" s="5" t="s">
        <v>261</v>
      </c>
      <c r="E3" s="5" t="s">
        <v>583</v>
      </c>
      <c r="F3" s="5" t="n">
        <v>2</v>
      </c>
      <c r="G3" s="5" t="s">
        <v>316</v>
      </c>
      <c r="H3" s="5" t="s">
        <v>677</v>
      </c>
      <c r="I3" s="5" t="s">
        <v>678</v>
      </c>
      <c r="J3" s="5" t="s">
        <v>674</v>
      </c>
      <c r="K3" s="5" t="n">
        <v>445.86</v>
      </c>
      <c r="L3" s="5" t="s">
        <v>679</v>
      </c>
    </row>
    <row r="4" customFormat="false" ht="15" hidden="false" customHeight="false" outlineLevel="0" collapsed="false">
      <c r="A4" s="5" t="s">
        <v>680</v>
      </c>
      <c r="B4" s="5" t="s">
        <v>673</v>
      </c>
      <c r="C4" s="5" t="s">
        <v>67</v>
      </c>
      <c r="D4" s="5" t="s">
        <v>205</v>
      </c>
      <c r="E4" s="5" t="s">
        <v>572</v>
      </c>
      <c r="F4" s="5" t="n">
        <v>1</v>
      </c>
      <c r="G4" s="5" t="s">
        <v>494</v>
      </c>
      <c r="H4" s="5" t="s">
        <v>363</v>
      </c>
      <c r="I4" s="5" t="s">
        <v>681</v>
      </c>
      <c r="J4" s="5" t="s">
        <v>682</v>
      </c>
      <c r="K4" s="5" t="n">
        <v>287.08</v>
      </c>
      <c r="L4" s="5" t="s">
        <v>679</v>
      </c>
    </row>
    <row r="5" customFormat="false" ht="15" hidden="false" customHeight="false" outlineLevel="0" collapsed="false">
      <c r="A5" s="5" t="s">
        <v>683</v>
      </c>
      <c r="B5" s="5" t="s">
        <v>673</v>
      </c>
      <c r="C5" s="5" t="s">
        <v>75</v>
      </c>
      <c r="D5" s="5" t="s">
        <v>247</v>
      </c>
      <c r="E5" s="5" t="s">
        <v>525</v>
      </c>
      <c r="F5" s="5" t="n">
        <v>2</v>
      </c>
      <c r="G5" s="5" t="s">
        <v>414</v>
      </c>
      <c r="H5" s="5" t="s">
        <v>475</v>
      </c>
      <c r="I5" s="5" t="s">
        <v>678</v>
      </c>
      <c r="J5" s="5" t="s">
        <v>684</v>
      </c>
      <c r="K5" s="5" t="n">
        <v>63.2</v>
      </c>
      <c r="L5" s="5" t="s">
        <v>685</v>
      </c>
    </row>
    <row r="6" customFormat="false" ht="15" hidden="false" customHeight="false" outlineLevel="0" collapsed="false">
      <c r="A6" s="5" t="s">
        <v>686</v>
      </c>
      <c r="B6" s="5" t="s">
        <v>687</v>
      </c>
      <c r="C6" s="5" t="s">
        <v>75</v>
      </c>
      <c r="D6" s="5" t="s">
        <v>201</v>
      </c>
      <c r="E6" s="5" t="s">
        <v>421</v>
      </c>
      <c r="F6" s="5" t="n">
        <v>2</v>
      </c>
      <c r="G6" s="5" t="s">
        <v>422</v>
      </c>
      <c r="H6" s="5" t="s">
        <v>475</v>
      </c>
      <c r="I6" s="5" t="s">
        <v>688</v>
      </c>
      <c r="J6" s="5" t="s">
        <v>684</v>
      </c>
      <c r="K6" s="5" t="n">
        <v>506.5</v>
      </c>
      <c r="L6" s="5" t="s">
        <v>689</v>
      </c>
    </row>
    <row r="7" customFormat="false" ht="15" hidden="false" customHeight="false" outlineLevel="0" collapsed="false">
      <c r="A7" s="5" t="s">
        <v>690</v>
      </c>
      <c r="B7" s="5" t="s">
        <v>687</v>
      </c>
      <c r="C7" s="5" t="s">
        <v>85</v>
      </c>
      <c r="D7" s="5" t="s">
        <v>287</v>
      </c>
      <c r="E7" s="5" t="s">
        <v>548</v>
      </c>
      <c r="F7" s="5" t="n">
        <v>2</v>
      </c>
      <c r="G7" s="5" t="s">
        <v>394</v>
      </c>
      <c r="H7" s="5" t="s">
        <v>428</v>
      </c>
      <c r="I7" s="5" t="s">
        <v>678</v>
      </c>
      <c r="J7" s="5" t="s">
        <v>684</v>
      </c>
      <c r="K7" s="5" t="n">
        <v>560.32</v>
      </c>
      <c r="L7" s="5" t="s">
        <v>691</v>
      </c>
    </row>
    <row r="8" customFormat="false" ht="15" hidden="false" customHeight="false" outlineLevel="0" collapsed="false">
      <c r="A8" s="5" t="s">
        <v>692</v>
      </c>
      <c r="B8" s="5" t="s">
        <v>687</v>
      </c>
      <c r="C8" s="5" t="s">
        <v>75</v>
      </c>
      <c r="D8" s="5" t="s">
        <v>193</v>
      </c>
      <c r="E8" s="5" t="s">
        <v>478</v>
      </c>
      <c r="F8" s="5" t="n">
        <v>2</v>
      </c>
      <c r="G8" s="5" t="s">
        <v>320</v>
      </c>
      <c r="H8" s="5" t="s">
        <v>445</v>
      </c>
      <c r="I8" s="5" t="s">
        <v>688</v>
      </c>
      <c r="J8" s="5" t="s">
        <v>682</v>
      </c>
      <c r="K8" s="5" t="n">
        <v>231.46</v>
      </c>
      <c r="L8" s="5" t="s">
        <v>691</v>
      </c>
    </row>
    <row r="9" customFormat="false" ht="15" hidden="false" customHeight="false" outlineLevel="0" collapsed="false">
      <c r="A9" s="5" t="s">
        <v>693</v>
      </c>
      <c r="B9" s="5" t="s">
        <v>673</v>
      </c>
      <c r="C9" s="5" t="s">
        <v>115</v>
      </c>
      <c r="D9" s="5" t="s">
        <v>261</v>
      </c>
      <c r="E9" s="5" t="s">
        <v>384</v>
      </c>
      <c r="F9" s="5" t="n">
        <v>2</v>
      </c>
      <c r="G9" s="5" t="s">
        <v>385</v>
      </c>
      <c r="H9" s="5" t="s">
        <v>473</v>
      </c>
      <c r="I9" s="5" t="s">
        <v>681</v>
      </c>
      <c r="J9" s="5" t="s">
        <v>684</v>
      </c>
      <c r="K9" s="5" t="n">
        <v>635.65</v>
      </c>
      <c r="L9" s="5" t="s">
        <v>689</v>
      </c>
    </row>
    <row r="10" customFormat="false" ht="15" hidden="false" customHeight="false" outlineLevel="0" collapsed="false">
      <c r="A10" s="5" t="s">
        <v>694</v>
      </c>
      <c r="B10" s="5" t="s">
        <v>673</v>
      </c>
      <c r="C10" s="5" t="s">
        <v>123</v>
      </c>
      <c r="D10" s="5" t="s">
        <v>275</v>
      </c>
      <c r="E10" s="5" t="s">
        <v>436</v>
      </c>
      <c r="F10" s="5" t="n">
        <v>2</v>
      </c>
      <c r="G10" s="5" t="s">
        <v>437</v>
      </c>
      <c r="H10" s="5" t="s">
        <v>474</v>
      </c>
      <c r="I10" s="5" t="s">
        <v>688</v>
      </c>
      <c r="J10" s="5" t="s">
        <v>674</v>
      </c>
      <c r="K10" s="5" t="n">
        <v>492.04</v>
      </c>
      <c r="L10" s="5" t="s">
        <v>685</v>
      </c>
    </row>
    <row r="11" customFormat="false" ht="15" hidden="false" customHeight="false" outlineLevel="0" collapsed="false">
      <c r="A11" s="5" t="s">
        <v>695</v>
      </c>
      <c r="B11" s="5" t="s">
        <v>673</v>
      </c>
      <c r="C11" s="5" t="s">
        <v>80</v>
      </c>
      <c r="D11" s="5" t="s">
        <v>265</v>
      </c>
      <c r="E11" s="5" t="s">
        <v>574</v>
      </c>
      <c r="F11" s="5" t="n">
        <v>1</v>
      </c>
      <c r="G11" s="5" t="s">
        <v>341</v>
      </c>
      <c r="H11" s="5" t="s">
        <v>331</v>
      </c>
      <c r="I11" s="5" t="s">
        <v>311</v>
      </c>
      <c r="J11" s="5" t="s">
        <v>696</v>
      </c>
      <c r="K11" s="5" t="n">
        <v>350.24</v>
      </c>
      <c r="L11" s="5" t="s">
        <v>691</v>
      </c>
    </row>
    <row r="12" customFormat="false" ht="15" hidden="false" customHeight="false" outlineLevel="0" collapsed="false">
      <c r="A12" s="5" t="s">
        <v>697</v>
      </c>
      <c r="B12" s="5" t="s">
        <v>687</v>
      </c>
      <c r="C12" s="5" t="s">
        <v>89</v>
      </c>
      <c r="D12" s="5" t="s">
        <v>207</v>
      </c>
      <c r="E12" s="5" t="s">
        <v>505</v>
      </c>
      <c r="F12" s="5" t="n">
        <v>1</v>
      </c>
      <c r="G12" s="5" t="s">
        <v>506</v>
      </c>
      <c r="H12" s="5" t="s">
        <v>428</v>
      </c>
      <c r="I12" s="5" t="s">
        <v>678</v>
      </c>
      <c r="J12" s="5" t="s">
        <v>684</v>
      </c>
      <c r="K12" s="5" t="n">
        <v>168.24</v>
      </c>
      <c r="L12" s="5" t="s">
        <v>685</v>
      </c>
    </row>
    <row r="13" customFormat="false" ht="15" hidden="false" customHeight="false" outlineLevel="0" collapsed="false">
      <c r="A13" s="5" t="s">
        <v>698</v>
      </c>
      <c r="B13" s="5" t="s">
        <v>687</v>
      </c>
      <c r="C13" s="5" t="s">
        <v>75</v>
      </c>
      <c r="D13" s="5" t="s">
        <v>209</v>
      </c>
      <c r="E13" s="5" t="s">
        <v>525</v>
      </c>
      <c r="F13" s="5" t="n">
        <v>2</v>
      </c>
      <c r="G13" s="5" t="s">
        <v>414</v>
      </c>
      <c r="H13" s="5" t="s">
        <v>347</v>
      </c>
      <c r="I13" s="5" t="s">
        <v>678</v>
      </c>
      <c r="J13" s="5" t="s">
        <v>684</v>
      </c>
      <c r="K13" s="5" t="n">
        <v>461.8</v>
      </c>
      <c r="L13" s="5" t="s">
        <v>675</v>
      </c>
    </row>
    <row r="14" customFormat="false" ht="15" hidden="false" customHeight="false" outlineLevel="0" collapsed="false">
      <c r="A14" s="5" t="s">
        <v>699</v>
      </c>
      <c r="B14" s="5" t="s">
        <v>700</v>
      </c>
      <c r="C14" s="5" t="s">
        <v>75</v>
      </c>
      <c r="D14" s="5" t="s">
        <v>275</v>
      </c>
      <c r="E14" s="5" t="s">
        <v>562</v>
      </c>
      <c r="F14" s="5" t="n">
        <v>1</v>
      </c>
      <c r="G14" s="5" t="s">
        <v>519</v>
      </c>
      <c r="H14" s="5" t="s">
        <v>634</v>
      </c>
      <c r="I14" s="5" t="s">
        <v>311</v>
      </c>
      <c r="J14" s="5" t="s">
        <v>696</v>
      </c>
      <c r="K14" s="5" t="n">
        <v>340.81</v>
      </c>
      <c r="L14" s="5" t="s">
        <v>675</v>
      </c>
    </row>
    <row r="15" customFormat="false" ht="15" hidden="false" customHeight="false" outlineLevel="0" collapsed="false">
      <c r="A15" s="5" t="s">
        <v>701</v>
      </c>
      <c r="B15" s="5" t="s">
        <v>673</v>
      </c>
      <c r="C15" s="5" t="s">
        <v>85</v>
      </c>
      <c r="D15" s="5" t="s">
        <v>228</v>
      </c>
      <c r="E15" s="5" t="s">
        <v>452</v>
      </c>
      <c r="F15" s="5" t="n">
        <v>1</v>
      </c>
      <c r="G15" s="5" t="s">
        <v>453</v>
      </c>
      <c r="H15" s="5" t="s">
        <v>588</v>
      </c>
      <c r="I15" s="5" t="s">
        <v>681</v>
      </c>
      <c r="J15" s="5" t="s">
        <v>682</v>
      </c>
      <c r="K15" s="5" t="n">
        <v>511.31</v>
      </c>
      <c r="L15" s="5" t="s">
        <v>691</v>
      </c>
    </row>
    <row r="16" customFormat="false" ht="15" hidden="false" customHeight="false" outlineLevel="0" collapsed="false">
      <c r="A16" s="5" t="s">
        <v>702</v>
      </c>
      <c r="B16" s="5" t="s">
        <v>673</v>
      </c>
      <c r="C16" s="5" t="s">
        <v>103</v>
      </c>
      <c r="D16" s="5" t="s">
        <v>201</v>
      </c>
      <c r="E16" s="5" t="s">
        <v>319</v>
      </c>
      <c r="F16" s="5" t="n">
        <v>1</v>
      </c>
      <c r="G16" s="5" t="s">
        <v>320</v>
      </c>
      <c r="H16" s="5" t="s">
        <v>404</v>
      </c>
      <c r="I16" s="5" t="s">
        <v>703</v>
      </c>
      <c r="J16" s="5" t="s">
        <v>696</v>
      </c>
      <c r="K16" s="5" t="n">
        <v>244.09</v>
      </c>
      <c r="L16" s="5" t="s">
        <v>689</v>
      </c>
    </row>
    <row r="17" customFormat="false" ht="15" hidden="false" customHeight="false" outlineLevel="0" collapsed="false">
      <c r="A17" s="5" t="s">
        <v>704</v>
      </c>
      <c r="B17" s="5" t="s">
        <v>687</v>
      </c>
      <c r="C17" s="5" t="s">
        <v>89</v>
      </c>
      <c r="D17" s="5" t="s">
        <v>183</v>
      </c>
      <c r="E17" s="5" t="s">
        <v>539</v>
      </c>
      <c r="F17" s="5" t="n">
        <v>1</v>
      </c>
      <c r="G17" s="5" t="s">
        <v>411</v>
      </c>
      <c r="H17" s="5" t="s">
        <v>428</v>
      </c>
      <c r="I17" s="5" t="s">
        <v>688</v>
      </c>
      <c r="J17" s="5" t="s">
        <v>682</v>
      </c>
      <c r="K17" s="5" t="n">
        <v>335.41</v>
      </c>
      <c r="L17" s="5" t="s">
        <v>689</v>
      </c>
    </row>
    <row r="18" customFormat="false" ht="15" hidden="false" customHeight="false" outlineLevel="0" collapsed="false">
      <c r="A18" s="5" t="s">
        <v>705</v>
      </c>
      <c r="B18" s="5" t="s">
        <v>673</v>
      </c>
      <c r="C18" s="5" t="s">
        <v>54</v>
      </c>
      <c r="D18" s="5" t="s">
        <v>207</v>
      </c>
      <c r="E18" s="5" t="s">
        <v>529</v>
      </c>
      <c r="F18" s="5" t="n">
        <v>1</v>
      </c>
      <c r="G18" s="5" t="s">
        <v>428</v>
      </c>
      <c r="H18" s="5" t="s">
        <v>404</v>
      </c>
      <c r="I18" s="5" t="s">
        <v>681</v>
      </c>
      <c r="J18" s="5" t="s">
        <v>682</v>
      </c>
      <c r="K18" s="5" t="n">
        <v>207.24</v>
      </c>
      <c r="L18" s="5" t="s">
        <v>675</v>
      </c>
    </row>
    <row r="19" customFormat="false" ht="15" hidden="false" customHeight="false" outlineLevel="0" collapsed="false">
      <c r="A19" s="5" t="s">
        <v>706</v>
      </c>
      <c r="B19" s="5" t="s">
        <v>687</v>
      </c>
      <c r="C19" s="5" t="s">
        <v>126</v>
      </c>
      <c r="D19" s="5" t="s">
        <v>253</v>
      </c>
      <c r="E19" s="5" t="s">
        <v>576</v>
      </c>
      <c r="F19" s="5" t="n">
        <v>1</v>
      </c>
      <c r="G19" s="5" t="s">
        <v>454</v>
      </c>
      <c r="H19" s="5" t="s">
        <v>428</v>
      </c>
      <c r="I19" s="5" t="s">
        <v>703</v>
      </c>
      <c r="J19" s="5" t="s">
        <v>682</v>
      </c>
      <c r="K19" s="5" t="n">
        <v>308.54</v>
      </c>
      <c r="L19" s="5" t="s">
        <v>675</v>
      </c>
    </row>
    <row r="20" customFormat="false" ht="15" hidden="false" customHeight="false" outlineLevel="0" collapsed="false">
      <c r="A20" s="5" t="s">
        <v>707</v>
      </c>
      <c r="B20" s="5" t="s">
        <v>700</v>
      </c>
      <c r="C20" s="5" t="s">
        <v>96</v>
      </c>
      <c r="D20" s="5" t="s">
        <v>271</v>
      </c>
      <c r="E20" s="5" t="s">
        <v>468</v>
      </c>
      <c r="F20" s="5" t="n">
        <v>1</v>
      </c>
      <c r="G20" s="5" t="s">
        <v>351</v>
      </c>
      <c r="H20" s="5" t="s">
        <v>634</v>
      </c>
      <c r="I20" s="5" t="s">
        <v>703</v>
      </c>
      <c r="J20" s="5" t="s">
        <v>684</v>
      </c>
      <c r="K20" s="5" t="n">
        <v>298.52</v>
      </c>
      <c r="L20" s="5" t="s">
        <v>689</v>
      </c>
    </row>
    <row r="21" customFormat="false" ht="15" hidden="false" customHeight="false" outlineLevel="0" collapsed="false">
      <c r="A21" s="5" t="s">
        <v>708</v>
      </c>
      <c r="B21" s="5" t="s">
        <v>700</v>
      </c>
      <c r="C21" s="5" t="s">
        <v>42</v>
      </c>
      <c r="D21" s="5" t="s">
        <v>241</v>
      </c>
      <c r="E21" s="5" t="s">
        <v>558</v>
      </c>
      <c r="F21" s="5" t="n">
        <v>2</v>
      </c>
      <c r="G21" s="5" t="s">
        <v>469</v>
      </c>
      <c r="H21" s="5" t="s">
        <v>423</v>
      </c>
      <c r="I21" s="5" t="s">
        <v>681</v>
      </c>
      <c r="J21" s="5" t="s">
        <v>684</v>
      </c>
      <c r="K21" s="5" t="n">
        <v>357.54</v>
      </c>
      <c r="L21" s="5" t="s">
        <v>675</v>
      </c>
    </row>
    <row r="22" customFormat="false" ht="15" hidden="false" customHeight="false" outlineLevel="0" collapsed="false">
      <c r="A22" s="5" t="s">
        <v>709</v>
      </c>
      <c r="B22" s="5" t="s">
        <v>700</v>
      </c>
      <c r="C22" s="5" t="s">
        <v>96</v>
      </c>
      <c r="D22" s="5" t="s">
        <v>289</v>
      </c>
      <c r="E22" s="5" t="s">
        <v>468</v>
      </c>
      <c r="F22" s="5" t="n">
        <v>2</v>
      </c>
      <c r="G22" s="5" t="s">
        <v>351</v>
      </c>
      <c r="H22" s="5" t="s">
        <v>363</v>
      </c>
      <c r="I22" s="5" t="s">
        <v>311</v>
      </c>
      <c r="J22" s="5" t="s">
        <v>674</v>
      </c>
      <c r="K22" s="5" t="n">
        <v>138.38</v>
      </c>
      <c r="L22" s="5" t="s">
        <v>679</v>
      </c>
    </row>
    <row r="23" customFormat="false" ht="15" hidden="false" customHeight="false" outlineLevel="0" collapsed="false">
      <c r="A23" s="5" t="s">
        <v>710</v>
      </c>
      <c r="B23" s="5" t="s">
        <v>687</v>
      </c>
      <c r="C23" s="5" t="s">
        <v>112</v>
      </c>
      <c r="D23" s="5" t="s">
        <v>238</v>
      </c>
      <c r="E23" s="5" t="s">
        <v>439</v>
      </c>
      <c r="F23" s="5" t="n">
        <v>1</v>
      </c>
      <c r="G23" s="5" t="s">
        <v>440</v>
      </c>
      <c r="H23" s="5" t="s">
        <v>465</v>
      </c>
      <c r="I23" s="5" t="s">
        <v>311</v>
      </c>
      <c r="J23" s="5" t="s">
        <v>684</v>
      </c>
      <c r="K23" s="5" t="n">
        <v>482.03</v>
      </c>
      <c r="L23" s="5" t="s">
        <v>675</v>
      </c>
    </row>
    <row r="24" customFormat="false" ht="15" hidden="false" customHeight="false" outlineLevel="0" collapsed="false">
      <c r="A24" s="5" t="s">
        <v>711</v>
      </c>
      <c r="B24" s="5" t="s">
        <v>700</v>
      </c>
      <c r="C24" s="5" t="s">
        <v>100</v>
      </c>
      <c r="D24" s="5" t="s">
        <v>245</v>
      </c>
      <c r="E24" s="5" t="s">
        <v>560</v>
      </c>
      <c r="F24" s="5" t="n">
        <v>2</v>
      </c>
      <c r="G24" s="5" t="s">
        <v>552</v>
      </c>
      <c r="H24" s="5" t="s">
        <v>605</v>
      </c>
      <c r="I24" s="5" t="s">
        <v>311</v>
      </c>
      <c r="J24" s="5" t="s">
        <v>682</v>
      </c>
      <c r="K24" s="5" t="n">
        <v>686.69</v>
      </c>
      <c r="L24" s="5" t="s">
        <v>685</v>
      </c>
    </row>
    <row r="25" customFormat="false" ht="15" hidden="false" customHeight="false" outlineLevel="0" collapsed="false">
      <c r="A25" s="5" t="s">
        <v>712</v>
      </c>
      <c r="B25" s="5" t="s">
        <v>700</v>
      </c>
      <c r="C25" s="5" t="s">
        <v>96</v>
      </c>
      <c r="D25" s="5" t="s">
        <v>245</v>
      </c>
      <c r="E25" s="5" t="s">
        <v>468</v>
      </c>
      <c r="F25" s="5" t="n">
        <v>2</v>
      </c>
      <c r="G25" s="5" t="s">
        <v>351</v>
      </c>
      <c r="H25" s="5" t="s">
        <v>414</v>
      </c>
      <c r="I25" s="5" t="s">
        <v>678</v>
      </c>
      <c r="J25" s="5" t="s">
        <v>674</v>
      </c>
      <c r="K25" s="5" t="n">
        <v>794.84</v>
      </c>
      <c r="L25" s="5" t="s">
        <v>689</v>
      </c>
    </row>
    <row r="26" customFormat="false" ht="15" hidden="false" customHeight="false" outlineLevel="0" collapsed="false">
      <c r="A26" s="5" t="s">
        <v>713</v>
      </c>
      <c r="B26" s="5" t="s">
        <v>687</v>
      </c>
      <c r="C26" s="5" t="s">
        <v>89</v>
      </c>
      <c r="D26" s="5" t="s">
        <v>273</v>
      </c>
      <c r="E26" s="5" t="s">
        <v>505</v>
      </c>
      <c r="F26" s="5" t="n">
        <v>1</v>
      </c>
      <c r="G26" s="5" t="s">
        <v>506</v>
      </c>
      <c r="H26" s="5" t="s">
        <v>634</v>
      </c>
      <c r="I26" s="5" t="s">
        <v>311</v>
      </c>
      <c r="J26" s="5" t="s">
        <v>682</v>
      </c>
      <c r="K26" s="5" t="n">
        <v>70.92</v>
      </c>
      <c r="L26" s="5" t="s">
        <v>685</v>
      </c>
    </row>
    <row r="27" customFormat="false" ht="15" hidden="false" customHeight="false" outlineLevel="0" collapsed="false">
      <c r="A27" s="5" t="s">
        <v>714</v>
      </c>
      <c r="B27" s="5" t="s">
        <v>673</v>
      </c>
      <c r="C27" s="5" t="s">
        <v>75</v>
      </c>
      <c r="D27" s="5" t="s">
        <v>205</v>
      </c>
      <c r="E27" s="5" t="s">
        <v>350</v>
      </c>
      <c r="F27" s="5" t="n">
        <v>1</v>
      </c>
      <c r="G27" s="5" t="s">
        <v>351</v>
      </c>
      <c r="H27" s="5" t="s">
        <v>331</v>
      </c>
      <c r="I27" s="5" t="s">
        <v>688</v>
      </c>
      <c r="J27" s="5" t="s">
        <v>696</v>
      </c>
      <c r="K27" s="5" t="n">
        <v>294.75</v>
      </c>
      <c r="L27" s="5" t="s">
        <v>679</v>
      </c>
    </row>
    <row r="28" customFormat="false" ht="15" hidden="false" customHeight="false" outlineLevel="0" collapsed="false">
      <c r="A28" s="5" t="s">
        <v>715</v>
      </c>
      <c r="B28" s="5" t="s">
        <v>687</v>
      </c>
      <c r="C28" s="5" t="s">
        <v>54</v>
      </c>
      <c r="D28" s="5" t="s">
        <v>219</v>
      </c>
      <c r="E28" s="5" t="s">
        <v>551</v>
      </c>
      <c r="F28" s="5" t="n">
        <v>1</v>
      </c>
      <c r="G28" s="5" t="s">
        <v>352</v>
      </c>
      <c r="H28" s="5" t="s">
        <v>423</v>
      </c>
      <c r="I28" s="5" t="s">
        <v>311</v>
      </c>
      <c r="J28" s="5" t="s">
        <v>684</v>
      </c>
      <c r="K28" s="5" t="n">
        <v>386.59</v>
      </c>
      <c r="L28" s="5" t="s">
        <v>679</v>
      </c>
    </row>
    <row r="29" customFormat="false" ht="15" hidden="false" customHeight="false" outlineLevel="0" collapsed="false">
      <c r="A29" s="5" t="s">
        <v>716</v>
      </c>
      <c r="B29" s="5" t="s">
        <v>687</v>
      </c>
      <c r="C29" s="5" t="s">
        <v>60</v>
      </c>
      <c r="D29" s="5" t="s">
        <v>236</v>
      </c>
      <c r="E29" s="5" t="s">
        <v>555</v>
      </c>
      <c r="F29" s="5" t="n">
        <v>2</v>
      </c>
      <c r="G29" s="5" t="s">
        <v>329</v>
      </c>
      <c r="H29" s="5" t="s">
        <v>473</v>
      </c>
      <c r="I29" s="5" t="s">
        <v>311</v>
      </c>
      <c r="J29" s="5" t="s">
        <v>682</v>
      </c>
      <c r="K29" s="5" t="n">
        <v>941</v>
      </c>
      <c r="L29" s="5" t="s">
        <v>675</v>
      </c>
    </row>
    <row r="30" customFormat="false" ht="15" hidden="false" customHeight="false" outlineLevel="0" collapsed="false">
      <c r="A30" s="5" t="s">
        <v>717</v>
      </c>
      <c r="B30" s="5" t="s">
        <v>687</v>
      </c>
      <c r="C30" s="5" t="s">
        <v>126</v>
      </c>
      <c r="D30" s="5" t="s">
        <v>291</v>
      </c>
      <c r="E30" s="5" t="s">
        <v>515</v>
      </c>
      <c r="F30" s="5" t="n">
        <v>2</v>
      </c>
      <c r="G30" s="5" t="s">
        <v>516</v>
      </c>
      <c r="H30" s="5" t="s">
        <v>634</v>
      </c>
      <c r="I30" s="5" t="s">
        <v>678</v>
      </c>
      <c r="J30" s="5" t="s">
        <v>682</v>
      </c>
      <c r="K30" s="5" t="n">
        <v>1013.6</v>
      </c>
      <c r="L30" s="5" t="s">
        <v>679</v>
      </c>
    </row>
    <row r="31" customFormat="false" ht="15" hidden="false" customHeight="false" outlineLevel="0" collapsed="false">
      <c r="A31" s="5" t="s">
        <v>718</v>
      </c>
      <c r="B31" s="5" t="s">
        <v>687</v>
      </c>
      <c r="C31" s="5" t="s">
        <v>75</v>
      </c>
      <c r="D31" s="5" t="s">
        <v>277</v>
      </c>
      <c r="E31" s="5" t="s">
        <v>525</v>
      </c>
      <c r="F31" s="5" t="n">
        <v>2</v>
      </c>
      <c r="G31" s="5" t="s">
        <v>414</v>
      </c>
      <c r="H31" s="5" t="s">
        <v>463</v>
      </c>
      <c r="I31" s="5" t="s">
        <v>688</v>
      </c>
      <c r="J31" s="5" t="s">
        <v>684</v>
      </c>
      <c r="K31" s="5" t="n">
        <v>389.57</v>
      </c>
      <c r="L31" s="5" t="s">
        <v>689</v>
      </c>
    </row>
    <row r="32" customFormat="false" ht="15" hidden="false" customHeight="false" outlineLevel="0" collapsed="false">
      <c r="A32" s="5" t="s">
        <v>719</v>
      </c>
      <c r="B32" s="5" t="s">
        <v>687</v>
      </c>
      <c r="C32" s="5" t="s">
        <v>89</v>
      </c>
      <c r="D32" s="5" t="s">
        <v>291</v>
      </c>
      <c r="E32" s="5" t="s">
        <v>381</v>
      </c>
      <c r="F32" s="5" t="n">
        <v>2</v>
      </c>
      <c r="G32" s="5" t="s">
        <v>376</v>
      </c>
      <c r="H32" s="5" t="s">
        <v>445</v>
      </c>
      <c r="I32" s="5" t="s">
        <v>311</v>
      </c>
      <c r="J32" s="5" t="s">
        <v>696</v>
      </c>
      <c r="K32" s="5" t="n">
        <v>888.14</v>
      </c>
      <c r="L32" s="5" t="s">
        <v>675</v>
      </c>
    </row>
    <row r="33" customFormat="false" ht="15" hidden="false" customHeight="false" outlineLevel="0" collapsed="false">
      <c r="A33" s="6" t="s">
        <v>720</v>
      </c>
      <c r="B33" s="6" t="s">
        <v>687</v>
      </c>
      <c r="C33" s="6" t="s">
        <v>60</v>
      </c>
      <c r="D33" s="6" t="s">
        <v>249</v>
      </c>
      <c r="E33" s="6" t="s">
        <v>308</v>
      </c>
      <c r="F33" s="6" t="n">
        <v>1</v>
      </c>
      <c r="G33" s="6" t="s">
        <v>309</v>
      </c>
      <c r="H33" s="6" t="s">
        <v>482</v>
      </c>
      <c r="I33" s="6" t="s">
        <v>311</v>
      </c>
      <c r="J33" s="6" t="s">
        <v>682</v>
      </c>
      <c r="K33" s="6" t="n">
        <v>90.68</v>
      </c>
      <c r="L33" s="6" t="s">
        <v>685</v>
      </c>
    </row>
    <row r="34" customFormat="false" ht="15" hidden="false" customHeight="false" outlineLevel="0" collapsed="false">
      <c r="A34" s="6" t="s">
        <v>721</v>
      </c>
      <c r="B34" s="6" t="s">
        <v>673</v>
      </c>
      <c r="C34" s="6" t="s">
        <v>115</v>
      </c>
      <c r="D34" s="6" t="s">
        <v>261</v>
      </c>
      <c r="E34" s="6" t="s">
        <v>384</v>
      </c>
      <c r="F34" s="6" t="n">
        <v>1</v>
      </c>
      <c r="G34" s="6" t="s">
        <v>385</v>
      </c>
      <c r="H34" s="6" t="s">
        <v>465</v>
      </c>
      <c r="I34" s="6" t="s">
        <v>311</v>
      </c>
      <c r="J34" s="6" t="s">
        <v>722</v>
      </c>
      <c r="K34" s="6" t="n">
        <v>431.38</v>
      </c>
      <c r="L34" s="6" t="s">
        <v>685</v>
      </c>
    </row>
    <row r="35" customFormat="false" ht="15" hidden="false" customHeight="false" outlineLevel="0" collapsed="false">
      <c r="A35" s="6" t="s">
        <v>723</v>
      </c>
      <c r="B35" s="6" t="s">
        <v>687</v>
      </c>
      <c r="C35" s="6" t="s">
        <v>50</v>
      </c>
      <c r="D35" s="6" t="s">
        <v>293</v>
      </c>
      <c r="E35" s="6" t="s">
        <v>724</v>
      </c>
      <c r="F35" s="6" t="n">
        <v>1</v>
      </c>
      <c r="G35" s="6" t="s">
        <v>725</v>
      </c>
      <c r="H35" s="6" t="s">
        <v>463</v>
      </c>
      <c r="I35" s="6" t="s">
        <v>311</v>
      </c>
      <c r="J35" s="6" t="s">
        <v>674</v>
      </c>
      <c r="K35" s="6" t="n">
        <v>120</v>
      </c>
      <c r="L35" s="6" t="s">
        <v>685</v>
      </c>
    </row>
    <row r="36" customFormat="false" ht="15" hidden="false" customHeight="false" outlineLevel="0" collapsed="false">
      <c r="A36" s="6" t="s">
        <v>726</v>
      </c>
      <c r="B36" s="6" t="s">
        <v>673</v>
      </c>
      <c r="C36" s="6" t="s">
        <v>75</v>
      </c>
      <c r="D36" s="6" t="s">
        <v>205</v>
      </c>
      <c r="E36" s="6" t="s">
        <v>350</v>
      </c>
      <c r="F36" s="6" t="n">
        <v>7</v>
      </c>
      <c r="G36" s="6" t="s">
        <v>351</v>
      </c>
      <c r="H36" s="6" t="s">
        <v>475</v>
      </c>
      <c r="I36" s="6" t="s">
        <v>311</v>
      </c>
      <c r="J36" s="6" t="s">
        <v>684</v>
      </c>
      <c r="K36" s="6" t="n">
        <v>3256.12</v>
      </c>
      <c r="L36" s="6" t="s">
        <v>689</v>
      </c>
    </row>
    <row r="37" customFormat="false" ht="15" hidden="false" customHeight="false" outlineLevel="0" collapsed="false">
      <c r="A37" s="6" t="s">
        <v>727</v>
      </c>
      <c r="B37" s="6" t="s">
        <v>687</v>
      </c>
      <c r="C37" s="6" t="s">
        <v>85</v>
      </c>
      <c r="D37" s="6" t="s">
        <v>151</v>
      </c>
      <c r="E37" s="6"/>
      <c r="F37" s="6" t="n">
        <v>1</v>
      </c>
      <c r="G37" s="6" t="s">
        <v>326</v>
      </c>
      <c r="H37" s="6" t="s">
        <v>474</v>
      </c>
      <c r="I37" s="6" t="s">
        <v>311</v>
      </c>
      <c r="J37" s="6" t="s">
        <v>674</v>
      </c>
      <c r="K37" s="6" t="n">
        <v>174.05</v>
      </c>
      <c r="L37" s="6" t="s">
        <v>685</v>
      </c>
    </row>
    <row r="38" customFormat="false" ht="15" hidden="false" customHeight="false" outlineLevel="0" collapsed="false">
      <c r="A38" s="6" t="s">
        <v>728</v>
      </c>
      <c r="B38" s="6" t="s">
        <v>687</v>
      </c>
      <c r="C38" s="6" t="s">
        <v>60</v>
      </c>
      <c r="D38" s="6" t="s">
        <v>283</v>
      </c>
      <c r="E38" s="6" t="s">
        <v>468</v>
      </c>
      <c r="F38" s="6" t="n">
        <v>1</v>
      </c>
      <c r="G38" s="6" t="s">
        <v>461</v>
      </c>
      <c r="H38" s="6" t="s">
        <v>427</v>
      </c>
      <c r="I38" s="6" t="s">
        <v>703</v>
      </c>
      <c r="J38" s="6" t="s">
        <v>674</v>
      </c>
      <c r="K38" s="6" t="n">
        <v>90</v>
      </c>
      <c r="L38" s="6" t="s">
        <v>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4" t="s">
        <v>730</v>
      </c>
      <c r="B1" s="4" t="s">
        <v>141</v>
      </c>
      <c r="C1" s="4" t="s">
        <v>731</v>
      </c>
      <c r="D1" s="4" t="s">
        <v>732</v>
      </c>
      <c r="E1" s="4" t="s">
        <v>733</v>
      </c>
      <c r="F1" s="4" t="s">
        <v>734</v>
      </c>
      <c r="G1" s="4" t="s">
        <v>735</v>
      </c>
      <c r="H1" s="4" t="s">
        <v>736</v>
      </c>
      <c r="I1" s="4" t="s">
        <v>737</v>
      </c>
    </row>
    <row r="2" customFormat="false" ht="15" hidden="false" customHeight="false" outlineLevel="0" collapsed="false">
      <c r="A2" s="5" t="s">
        <v>738</v>
      </c>
      <c r="B2" s="5" t="s">
        <v>151</v>
      </c>
      <c r="C2" s="5" t="s">
        <v>739</v>
      </c>
      <c r="D2" s="5" t="n">
        <v>0</v>
      </c>
      <c r="E2" s="5" t="n">
        <v>0</v>
      </c>
      <c r="F2" s="5" t="n">
        <f aca="false">D2-E2</f>
        <v>0</v>
      </c>
      <c r="G2" s="5" t="n">
        <v>5</v>
      </c>
      <c r="H2" s="5" t="s">
        <v>740</v>
      </c>
      <c r="I2" s="5" t="s">
        <v>547</v>
      </c>
    </row>
    <row r="3" customFormat="false" ht="15" hidden="false" customHeight="false" outlineLevel="0" collapsed="false">
      <c r="A3" s="5" t="s">
        <v>741</v>
      </c>
      <c r="B3" s="5" t="s">
        <v>158</v>
      </c>
      <c r="C3" s="5" t="s">
        <v>739</v>
      </c>
      <c r="D3" s="5" t="n">
        <v>25</v>
      </c>
      <c r="E3" s="5" t="n">
        <v>11</v>
      </c>
      <c r="F3" s="5" t="n">
        <f aca="false">D3-E3</f>
        <v>14</v>
      </c>
      <c r="G3" s="5" t="n">
        <v>10</v>
      </c>
      <c r="H3" s="5" t="s">
        <v>742</v>
      </c>
      <c r="I3" s="5" t="s">
        <v>389</v>
      </c>
    </row>
    <row r="4" customFormat="false" ht="15" hidden="false" customHeight="false" outlineLevel="0" collapsed="false">
      <c r="A4" s="5" t="s">
        <v>743</v>
      </c>
      <c r="B4" s="5" t="s">
        <v>164</v>
      </c>
      <c r="C4" s="5" t="s">
        <v>744</v>
      </c>
      <c r="D4" s="5" t="n">
        <v>60</v>
      </c>
      <c r="E4" s="5" t="n">
        <v>4</v>
      </c>
      <c r="F4" s="5" t="n">
        <f aca="false">D4-E4</f>
        <v>56</v>
      </c>
      <c r="G4" s="5" t="n">
        <v>5</v>
      </c>
      <c r="H4" s="5" t="s">
        <v>745</v>
      </c>
      <c r="I4" s="5" t="s">
        <v>544</v>
      </c>
    </row>
    <row r="5" customFormat="false" ht="15" hidden="false" customHeight="false" outlineLevel="0" collapsed="false">
      <c r="A5" s="5" t="s">
        <v>746</v>
      </c>
      <c r="B5" s="5" t="s">
        <v>167</v>
      </c>
      <c r="C5" s="5" t="s">
        <v>747</v>
      </c>
      <c r="D5" s="5" t="n">
        <v>120</v>
      </c>
      <c r="E5" s="5" t="n">
        <v>5</v>
      </c>
      <c r="F5" s="5" t="n">
        <f aca="false">D5-E5</f>
        <v>115</v>
      </c>
      <c r="G5" s="5" t="n">
        <v>20</v>
      </c>
      <c r="H5" s="5" t="s">
        <v>748</v>
      </c>
      <c r="I5" s="5" t="s">
        <v>506</v>
      </c>
    </row>
    <row r="6" customFormat="false" ht="15" hidden="false" customHeight="false" outlineLevel="0" collapsed="false">
      <c r="A6" s="5" t="s">
        <v>749</v>
      </c>
      <c r="B6" s="5" t="s">
        <v>171</v>
      </c>
      <c r="C6" s="5" t="s">
        <v>747</v>
      </c>
      <c r="D6" s="5" t="n">
        <v>15</v>
      </c>
      <c r="E6" s="5" t="n">
        <v>5</v>
      </c>
      <c r="F6" s="5" t="n">
        <f aca="false">D6-E6</f>
        <v>10</v>
      </c>
      <c r="G6" s="5" t="n">
        <v>20</v>
      </c>
      <c r="H6" s="5" t="s">
        <v>750</v>
      </c>
      <c r="I6" s="5" t="s">
        <v>463</v>
      </c>
    </row>
    <row r="7" customFormat="false" ht="15" hidden="false" customHeight="false" outlineLevel="0" collapsed="false">
      <c r="A7" s="6" t="s">
        <v>751</v>
      </c>
      <c r="B7" s="6" t="s">
        <v>176</v>
      </c>
      <c r="C7" s="6" t="s">
        <v>739</v>
      </c>
      <c r="D7" s="6" t="n">
        <v>6</v>
      </c>
      <c r="E7" s="6" t="n">
        <v>14</v>
      </c>
      <c r="F7" s="6" t="n">
        <f aca="false">D7-E7</f>
        <v>-8</v>
      </c>
      <c r="G7" s="6" t="n">
        <v>5</v>
      </c>
      <c r="H7" s="6" t="s">
        <v>752</v>
      </c>
      <c r="I7" s="6" t="s">
        <v>549</v>
      </c>
    </row>
    <row r="8" customFormat="false" ht="15" hidden="false" customHeight="false" outlineLevel="0" collapsed="false">
      <c r="A8" s="5" t="s">
        <v>753</v>
      </c>
      <c r="B8" s="5" t="s">
        <v>178</v>
      </c>
      <c r="C8" s="5" t="s">
        <v>747</v>
      </c>
      <c r="D8" s="5" t="n">
        <v>10</v>
      </c>
      <c r="E8" s="5" t="n">
        <v>1</v>
      </c>
      <c r="F8" s="5" t="n">
        <f aca="false">D8-E8</f>
        <v>9</v>
      </c>
      <c r="G8" s="5" t="n">
        <v>10</v>
      </c>
      <c r="H8" s="5" t="s">
        <v>754</v>
      </c>
      <c r="I8" s="5" t="s">
        <v>506</v>
      </c>
    </row>
    <row r="9" customFormat="false" ht="15" hidden="false" customHeight="false" outlineLevel="0" collapsed="false">
      <c r="A9" s="5" t="s">
        <v>755</v>
      </c>
      <c r="B9" s="5" t="s">
        <v>183</v>
      </c>
      <c r="C9" s="5" t="s">
        <v>744</v>
      </c>
      <c r="D9" s="5" t="n">
        <v>80</v>
      </c>
      <c r="E9" s="5" t="n">
        <v>39</v>
      </c>
      <c r="F9" s="5" t="n">
        <f aca="false">D9-E9</f>
        <v>41</v>
      </c>
      <c r="G9" s="5" t="n">
        <v>15</v>
      </c>
      <c r="H9" s="5" t="s">
        <v>756</v>
      </c>
      <c r="I9" s="5" t="s">
        <v>398</v>
      </c>
    </row>
    <row r="10" customFormat="false" ht="15" hidden="false" customHeight="false" outlineLevel="0" collapsed="false">
      <c r="A10" s="5" t="s">
        <v>757</v>
      </c>
      <c r="B10" s="5" t="s">
        <v>183</v>
      </c>
      <c r="C10" s="5" t="s">
        <v>747</v>
      </c>
      <c r="D10" s="5" t="n">
        <v>25</v>
      </c>
      <c r="E10" s="5" t="n">
        <v>12</v>
      </c>
      <c r="F10" s="5" t="n">
        <f aca="false">D10-E10</f>
        <v>13</v>
      </c>
      <c r="G10" s="5" t="n">
        <v>20</v>
      </c>
      <c r="H10" s="5" t="s">
        <v>758</v>
      </c>
      <c r="I10" s="5" t="s">
        <v>725</v>
      </c>
    </row>
    <row r="11" customFormat="false" ht="15" hidden="false" customHeight="false" outlineLevel="0" collapsed="false">
      <c r="A11" s="5" t="s">
        <v>759</v>
      </c>
      <c r="B11" s="5" t="s">
        <v>186</v>
      </c>
      <c r="C11" s="5" t="s">
        <v>739</v>
      </c>
      <c r="D11" s="5" t="n">
        <v>120</v>
      </c>
      <c r="E11" s="5" t="n">
        <v>33</v>
      </c>
      <c r="F11" s="5" t="n">
        <f aca="false">D11-E11</f>
        <v>87</v>
      </c>
      <c r="G11" s="5" t="n">
        <v>20</v>
      </c>
      <c r="H11" s="5" t="s">
        <v>760</v>
      </c>
      <c r="I11" s="5" t="s">
        <v>761</v>
      </c>
    </row>
    <row r="12" customFormat="false" ht="15" hidden="false" customHeight="false" outlineLevel="0" collapsed="false">
      <c r="A12" s="5" t="s">
        <v>762</v>
      </c>
      <c r="B12" s="5" t="s">
        <v>188</v>
      </c>
      <c r="C12" s="5" t="s">
        <v>739</v>
      </c>
      <c r="D12" s="5" t="n">
        <v>0</v>
      </c>
      <c r="E12" s="5" t="n">
        <v>0</v>
      </c>
      <c r="F12" s="5" t="n">
        <f aca="false">D12-E12</f>
        <v>0</v>
      </c>
      <c r="G12" s="5" t="n">
        <v>15</v>
      </c>
      <c r="H12" s="5" t="s">
        <v>763</v>
      </c>
      <c r="I12" s="5" t="s">
        <v>321</v>
      </c>
    </row>
    <row r="13" customFormat="false" ht="15" hidden="false" customHeight="false" outlineLevel="0" collapsed="false">
      <c r="A13" s="5" t="s">
        <v>764</v>
      </c>
      <c r="B13" s="5" t="s">
        <v>190</v>
      </c>
      <c r="C13" s="5" t="s">
        <v>739</v>
      </c>
      <c r="D13" s="5" t="n">
        <v>4</v>
      </c>
      <c r="E13" s="5" t="n">
        <v>0</v>
      </c>
      <c r="F13" s="5" t="n">
        <f aca="false">D13-E13</f>
        <v>4</v>
      </c>
      <c r="G13" s="5" t="n">
        <v>15</v>
      </c>
      <c r="H13" s="5" t="s">
        <v>765</v>
      </c>
      <c r="I13" s="5" t="s">
        <v>411</v>
      </c>
    </row>
    <row r="14" customFormat="false" ht="15" hidden="false" customHeight="false" outlineLevel="0" collapsed="false">
      <c r="A14" s="5" t="s">
        <v>766</v>
      </c>
      <c r="B14" s="5" t="s">
        <v>193</v>
      </c>
      <c r="C14" s="5" t="s">
        <v>747</v>
      </c>
      <c r="D14" s="5" t="n">
        <v>15</v>
      </c>
      <c r="E14" s="5" t="n">
        <v>7</v>
      </c>
      <c r="F14" s="5" t="n">
        <f aca="false">D14-E14</f>
        <v>8</v>
      </c>
      <c r="G14" s="5" t="n">
        <v>15</v>
      </c>
      <c r="H14" s="5" t="s">
        <v>767</v>
      </c>
      <c r="I14" s="5" t="s">
        <v>385</v>
      </c>
    </row>
    <row r="15" customFormat="false" ht="15" hidden="false" customHeight="false" outlineLevel="0" collapsed="false">
      <c r="A15" s="5" t="s">
        <v>768</v>
      </c>
      <c r="B15" s="5" t="s">
        <v>195</v>
      </c>
      <c r="C15" s="5" t="s">
        <v>739</v>
      </c>
      <c r="D15" s="5" t="n">
        <v>60</v>
      </c>
      <c r="E15" s="5" t="n">
        <v>2</v>
      </c>
      <c r="F15" s="5" t="n">
        <f aca="false">D15-E15</f>
        <v>58</v>
      </c>
      <c r="G15" s="5" t="n">
        <v>15</v>
      </c>
      <c r="H15" s="5" t="s">
        <v>769</v>
      </c>
      <c r="I15" s="5" t="s">
        <v>412</v>
      </c>
    </row>
    <row r="16" customFormat="false" ht="15" hidden="false" customHeight="false" outlineLevel="0" collapsed="false">
      <c r="A16" s="5" t="s">
        <v>770</v>
      </c>
      <c r="B16" s="5" t="s">
        <v>195</v>
      </c>
      <c r="C16" s="5" t="s">
        <v>747</v>
      </c>
      <c r="D16" s="5" t="n">
        <v>40</v>
      </c>
      <c r="E16" s="5" t="n">
        <v>4</v>
      </c>
      <c r="F16" s="5" t="n">
        <f aca="false">D16-E16</f>
        <v>36</v>
      </c>
      <c r="G16" s="5" t="n">
        <v>10</v>
      </c>
      <c r="H16" s="5" t="s">
        <v>771</v>
      </c>
      <c r="I16" s="5" t="s">
        <v>326</v>
      </c>
    </row>
    <row r="17" customFormat="false" ht="15" hidden="false" customHeight="false" outlineLevel="0" collapsed="false">
      <c r="A17" s="5" t="s">
        <v>772</v>
      </c>
      <c r="B17" s="5" t="s">
        <v>197</v>
      </c>
      <c r="C17" s="5" t="s">
        <v>744</v>
      </c>
      <c r="D17" s="5" t="n">
        <v>80</v>
      </c>
      <c r="E17" s="5" t="n">
        <v>28</v>
      </c>
      <c r="F17" s="5" t="n">
        <f aca="false">D17-E17</f>
        <v>52</v>
      </c>
      <c r="G17" s="5" t="n">
        <v>5</v>
      </c>
      <c r="H17" s="5" t="s">
        <v>773</v>
      </c>
      <c r="I17" s="5" t="s">
        <v>401</v>
      </c>
    </row>
    <row r="18" customFormat="false" ht="15" hidden="false" customHeight="false" outlineLevel="0" collapsed="false">
      <c r="A18" s="5" t="s">
        <v>774</v>
      </c>
      <c r="B18" s="5" t="s">
        <v>199</v>
      </c>
      <c r="C18" s="5" t="s">
        <v>744</v>
      </c>
      <c r="D18" s="5" t="n">
        <v>120</v>
      </c>
      <c r="E18" s="5" t="n">
        <v>27</v>
      </c>
      <c r="F18" s="5" t="n">
        <f aca="false">D18-E18</f>
        <v>93</v>
      </c>
      <c r="G18" s="5" t="n">
        <v>5</v>
      </c>
      <c r="H18" s="5" t="s">
        <v>775</v>
      </c>
      <c r="I18" s="5" t="s">
        <v>402</v>
      </c>
    </row>
    <row r="19" customFormat="false" ht="15" hidden="false" customHeight="false" outlineLevel="0" collapsed="false">
      <c r="A19" s="5" t="s">
        <v>776</v>
      </c>
      <c r="B19" s="5" t="s">
        <v>201</v>
      </c>
      <c r="C19" s="5" t="s">
        <v>747</v>
      </c>
      <c r="D19" s="5" t="n">
        <v>60</v>
      </c>
      <c r="E19" s="5" t="n">
        <v>20</v>
      </c>
      <c r="F19" s="5" t="n">
        <f aca="false">D19-E19</f>
        <v>40</v>
      </c>
      <c r="G19" s="5" t="n">
        <v>20</v>
      </c>
      <c r="H19" s="5" t="s">
        <v>777</v>
      </c>
      <c r="I19" s="5" t="s">
        <v>549</v>
      </c>
    </row>
    <row r="20" customFormat="false" ht="15" hidden="false" customHeight="false" outlineLevel="0" collapsed="false">
      <c r="A20" s="5" t="s">
        <v>778</v>
      </c>
      <c r="B20" s="5" t="s">
        <v>205</v>
      </c>
      <c r="C20" s="5" t="s">
        <v>747</v>
      </c>
      <c r="D20" s="5" t="n">
        <v>10</v>
      </c>
      <c r="E20" s="5" t="n">
        <v>2</v>
      </c>
      <c r="F20" s="5" t="n">
        <f aca="false">D20-E20</f>
        <v>8</v>
      </c>
      <c r="G20" s="5" t="n">
        <v>20</v>
      </c>
      <c r="H20" s="5" t="s">
        <v>779</v>
      </c>
      <c r="I20" s="5" t="s">
        <v>398</v>
      </c>
    </row>
    <row r="21" customFormat="false" ht="15" hidden="false" customHeight="false" outlineLevel="0" collapsed="false">
      <c r="A21" s="5" t="s">
        <v>780</v>
      </c>
      <c r="B21" s="5" t="s">
        <v>205</v>
      </c>
      <c r="C21" s="5" t="s">
        <v>744</v>
      </c>
      <c r="D21" s="5" t="n">
        <v>60</v>
      </c>
      <c r="E21" s="5" t="n">
        <v>5</v>
      </c>
      <c r="F21" s="5" t="n">
        <f aca="false">D21-E21</f>
        <v>55</v>
      </c>
      <c r="G21" s="5" t="n">
        <v>5</v>
      </c>
      <c r="H21" s="5" t="s">
        <v>781</v>
      </c>
      <c r="I21" s="5" t="s">
        <v>488</v>
      </c>
    </row>
    <row r="22" customFormat="false" ht="15" hidden="false" customHeight="false" outlineLevel="0" collapsed="false">
      <c r="A22" s="5" t="s">
        <v>782</v>
      </c>
      <c r="B22" s="5" t="s">
        <v>207</v>
      </c>
      <c r="C22" s="5" t="s">
        <v>744</v>
      </c>
      <c r="D22" s="5" t="n">
        <v>60</v>
      </c>
      <c r="E22" s="5" t="n">
        <v>27</v>
      </c>
      <c r="F22" s="5" t="n">
        <f aca="false">D22-E22</f>
        <v>33</v>
      </c>
      <c r="G22" s="5" t="n">
        <v>20</v>
      </c>
      <c r="H22" s="5" t="s">
        <v>783</v>
      </c>
      <c r="I22" s="5" t="s">
        <v>500</v>
      </c>
    </row>
    <row r="23" customFormat="false" ht="15" hidden="false" customHeight="false" outlineLevel="0" collapsed="false">
      <c r="A23" s="5" t="s">
        <v>784</v>
      </c>
      <c r="B23" s="5" t="s">
        <v>207</v>
      </c>
      <c r="C23" s="5" t="s">
        <v>747</v>
      </c>
      <c r="D23" s="5" t="n">
        <v>25</v>
      </c>
      <c r="E23" s="5" t="n">
        <v>11</v>
      </c>
      <c r="F23" s="5" t="n">
        <f aca="false">D23-E23</f>
        <v>14</v>
      </c>
      <c r="G23" s="5" t="n">
        <v>5</v>
      </c>
      <c r="H23" s="5" t="s">
        <v>785</v>
      </c>
      <c r="I23" s="5" t="s">
        <v>389</v>
      </c>
    </row>
    <row r="24" customFormat="false" ht="15" hidden="false" customHeight="false" outlineLevel="0" collapsed="false">
      <c r="A24" s="5" t="s">
        <v>786</v>
      </c>
      <c r="B24" s="5" t="s">
        <v>209</v>
      </c>
      <c r="C24" s="5" t="s">
        <v>744</v>
      </c>
      <c r="D24" s="5" t="n">
        <v>4</v>
      </c>
      <c r="E24" s="5" t="n">
        <v>2</v>
      </c>
      <c r="F24" s="5" t="n">
        <f aca="false">D24-E24</f>
        <v>2</v>
      </c>
      <c r="G24" s="5" t="n">
        <v>15</v>
      </c>
      <c r="H24" s="5" t="s">
        <v>787</v>
      </c>
      <c r="I24" s="5" t="s">
        <v>419</v>
      </c>
    </row>
    <row r="25" customFormat="false" ht="15" hidden="false" customHeight="false" outlineLevel="0" collapsed="false">
      <c r="A25" s="5" t="s">
        <v>788</v>
      </c>
      <c r="B25" s="5" t="s">
        <v>211</v>
      </c>
      <c r="C25" s="5" t="s">
        <v>744</v>
      </c>
      <c r="D25" s="5" t="n">
        <v>10</v>
      </c>
      <c r="E25" s="5" t="n">
        <v>5</v>
      </c>
      <c r="F25" s="5" t="n">
        <f aca="false">D25-E25</f>
        <v>5</v>
      </c>
      <c r="G25" s="5" t="n">
        <v>20</v>
      </c>
      <c r="H25" s="5" t="s">
        <v>789</v>
      </c>
      <c r="I25" s="5" t="s">
        <v>359</v>
      </c>
    </row>
    <row r="26" customFormat="false" ht="15" hidden="false" customHeight="false" outlineLevel="0" collapsed="false">
      <c r="A26" s="5" t="s">
        <v>790</v>
      </c>
      <c r="B26" s="5" t="s">
        <v>213</v>
      </c>
      <c r="C26" s="5" t="s">
        <v>744</v>
      </c>
      <c r="D26" s="5" t="n">
        <v>80</v>
      </c>
      <c r="E26" s="5" t="n">
        <v>2</v>
      </c>
      <c r="F26" s="5" t="n">
        <f aca="false">D26-E26</f>
        <v>78</v>
      </c>
      <c r="G26" s="5" t="n">
        <v>15</v>
      </c>
      <c r="H26" s="5" t="s">
        <v>791</v>
      </c>
      <c r="I26" s="5" t="s">
        <v>404</v>
      </c>
    </row>
    <row r="27" customFormat="false" ht="15" hidden="false" customHeight="false" outlineLevel="0" collapsed="false">
      <c r="A27" s="5" t="s">
        <v>792</v>
      </c>
      <c r="B27" s="5" t="s">
        <v>215</v>
      </c>
      <c r="C27" s="5" t="s">
        <v>739</v>
      </c>
      <c r="D27" s="5" t="n">
        <v>120</v>
      </c>
      <c r="E27" s="5" t="n">
        <v>25</v>
      </c>
      <c r="F27" s="5" t="n">
        <f aca="false">D27-E27</f>
        <v>95</v>
      </c>
      <c r="G27" s="5" t="n">
        <v>20</v>
      </c>
      <c r="H27" s="5" t="s">
        <v>793</v>
      </c>
      <c r="I27" s="5" t="s">
        <v>641</v>
      </c>
    </row>
    <row r="28" customFormat="false" ht="15" hidden="false" customHeight="false" outlineLevel="0" collapsed="false">
      <c r="A28" s="5" t="s">
        <v>794</v>
      </c>
      <c r="B28" s="5" t="s">
        <v>217</v>
      </c>
      <c r="C28" s="5" t="s">
        <v>747</v>
      </c>
      <c r="D28" s="5" t="n">
        <v>40</v>
      </c>
      <c r="E28" s="5" t="n">
        <v>8</v>
      </c>
      <c r="F28" s="5" t="n">
        <f aca="false">D28-E28</f>
        <v>32</v>
      </c>
      <c r="G28" s="5" t="n">
        <v>5</v>
      </c>
      <c r="H28" s="5" t="s">
        <v>795</v>
      </c>
      <c r="I28" s="5" t="s">
        <v>796</v>
      </c>
    </row>
    <row r="29" customFormat="false" ht="15" hidden="false" customHeight="false" outlineLevel="0" collapsed="false">
      <c r="A29" s="5" t="s">
        <v>797</v>
      </c>
      <c r="B29" s="5" t="s">
        <v>219</v>
      </c>
      <c r="C29" s="5" t="s">
        <v>739</v>
      </c>
      <c r="D29" s="5" t="n">
        <v>10</v>
      </c>
      <c r="E29" s="5" t="n">
        <v>3</v>
      </c>
      <c r="F29" s="5" t="n">
        <f aca="false">D29-E29</f>
        <v>7</v>
      </c>
      <c r="G29" s="5" t="n">
        <v>20</v>
      </c>
      <c r="H29" s="5" t="s">
        <v>798</v>
      </c>
      <c r="I29" s="5" t="s">
        <v>799</v>
      </c>
    </row>
    <row r="30" customFormat="false" ht="15" hidden="false" customHeight="false" outlineLevel="0" collapsed="false">
      <c r="A30" s="5" t="s">
        <v>800</v>
      </c>
      <c r="B30" s="5" t="s">
        <v>222</v>
      </c>
      <c r="C30" s="5" t="s">
        <v>744</v>
      </c>
      <c r="D30" s="5" t="n">
        <v>60</v>
      </c>
      <c r="E30" s="5" t="n">
        <v>2</v>
      </c>
      <c r="F30" s="5" t="n">
        <f aca="false">D30-E30</f>
        <v>58</v>
      </c>
      <c r="G30" s="5" t="n">
        <v>20</v>
      </c>
      <c r="H30" s="5" t="s">
        <v>801</v>
      </c>
      <c r="I30" s="5" t="s">
        <v>419</v>
      </c>
    </row>
    <row r="31" customFormat="false" ht="15" hidden="false" customHeight="false" outlineLevel="0" collapsed="false">
      <c r="A31" s="5" t="s">
        <v>802</v>
      </c>
      <c r="B31" s="5" t="s">
        <v>224</v>
      </c>
      <c r="C31" s="5" t="s">
        <v>739</v>
      </c>
      <c r="D31" s="5" t="n">
        <v>4</v>
      </c>
      <c r="E31" s="5" t="n">
        <v>0</v>
      </c>
      <c r="F31" s="5" t="n">
        <f aca="false">D31-E31</f>
        <v>4</v>
      </c>
      <c r="G31" s="5" t="n">
        <v>15</v>
      </c>
      <c r="H31" s="5" t="s">
        <v>803</v>
      </c>
      <c r="I31" s="5" t="s">
        <v>761</v>
      </c>
    </row>
    <row r="32" customFormat="false" ht="15" hidden="false" customHeight="false" outlineLevel="0" collapsed="false">
      <c r="A32" s="5" t="s">
        <v>804</v>
      </c>
      <c r="B32" s="5" t="s">
        <v>226</v>
      </c>
      <c r="C32" s="5" t="s">
        <v>739</v>
      </c>
      <c r="D32" s="5" t="n">
        <v>80</v>
      </c>
      <c r="E32" s="5" t="n">
        <v>22</v>
      </c>
      <c r="F32" s="5" t="n">
        <f aca="false">D32-E32</f>
        <v>58</v>
      </c>
      <c r="G32" s="5" t="n">
        <v>20</v>
      </c>
      <c r="H32" s="5" t="s">
        <v>805</v>
      </c>
      <c r="I32" s="5" t="s">
        <v>395</v>
      </c>
    </row>
    <row r="33" customFormat="false" ht="15" hidden="false" customHeight="false" outlineLevel="0" collapsed="false">
      <c r="A33" s="5" t="s">
        <v>806</v>
      </c>
      <c r="B33" s="5" t="s">
        <v>226</v>
      </c>
      <c r="C33" s="5" t="s">
        <v>747</v>
      </c>
      <c r="D33" s="5" t="n">
        <v>60</v>
      </c>
      <c r="E33" s="5" t="n">
        <v>8</v>
      </c>
      <c r="F33" s="5" t="n">
        <f aca="false">D33-E33</f>
        <v>52</v>
      </c>
      <c r="G33" s="5" t="n">
        <v>5</v>
      </c>
      <c r="H33" s="5" t="s">
        <v>807</v>
      </c>
      <c r="I33" s="5" t="s">
        <v>506</v>
      </c>
    </row>
    <row r="34" customFormat="false" ht="15" hidden="false" customHeight="false" outlineLevel="0" collapsed="false">
      <c r="A34" s="5" t="s">
        <v>808</v>
      </c>
      <c r="B34" s="5" t="s">
        <v>228</v>
      </c>
      <c r="C34" s="5" t="s">
        <v>744</v>
      </c>
      <c r="D34" s="5" t="n">
        <v>0</v>
      </c>
      <c r="E34" s="5" t="n">
        <v>0</v>
      </c>
      <c r="F34" s="5" t="n">
        <f aca="false">D34-E34</f>
        <v>0</v>
      </c>
      <c r="G34" s="5" t="n">
        <v>20</v>
      </c>
      <c r="H34" s="5" t="s">
        <v>809</v>
      </c>
      <c r="I34" s="5" t="s">
        <v>398</v>
      </c>
    </row>
    <row r="35" customFormat="false" ht="15" hidden="false" customHeight="false" outlineLevel="0" collapsed="false">
      <c r="A35" s="5" t="s">
        <v>810</v>
      </c>
      <c r="B35" s="5" t="s">
        <v>228</v>
      </c>
      <c r="C35" s="5" t="s">
        <v>747</v>
      </c>
      <c r="D35" s="5" t="n">
        <v>40</v>
      </c>
      <c r="E35" s="5" t="n">
        <v>11</v>
      </c>
      <c r="F35" s="5" t="n">
        <f aca="false">D35-E35</f>
        <v>29</v>
      </c>
      <c r="G35" s="5" t="n">
        <v>20</v>
      </c>
      <c r="H35" s="5" t="s">
        <v>811</v>
      </c>
      <c r="I35" s="5" t="s">
        <v>547</v>
      </c>
    </row>
    <row r="36" customFormat="false" ht="15" hidden="false" customHeight="false" outlineLevel="0" collapsed="false">
      <c r="A36" s="5" t="s">
        <v>812</v>
      </c>
      <c r="B36" s="5" t="s">
        <v>230</v>
      </c>
      <c r="C36" s="5" t="s">
        <v>739</v>
      </c>
      <c r="D36" s="5" t="n">
        <v>40</v>
      </c>
      <c r="E36" s="5" t="n">
        <v>14</v>
      </c>
      <c r="F36" s="5" t="n">
        <f aca="false">D36-E36</f>
        <v>26</v>
      </c>
      <c r="G36" s="5" t="n">
        <v>5</v>
      </c>
      <c r="H36" s="5" t="s">
        <v>813</v>
      </c>
      <c r="I36" s="5" t="s">
        <v>506</v>
      </c>
    </row>
    <row r="37" customFormat="false" ht="15" hidden="false" customHeight="false" outlineLevel="0" collapsed="false">
      <c r="A37" s="5" t="s">
        <v>814</v>
      </c>
      <c r="B37" s="5" t="s">
        <v>232</v>
      </c>
      <c r="C37" s="5" t="s">
        <v>739</v>
      </c>
      <c r="D37" s="5" t="n">
        <v>25</v>
      </c>
      <c r="E37" s="5" t="n">
        <v>3</v>
      </c>
      <c r="F37" s="5" t="n">
        <f aca="false">D37-E37</f>
        <v>22</v>
      </c>
      <c r="G37" s="5" t="n">
        <v>5</v>
      </c>
      <c r="H37" s="5" t="s">
        <v>815</v>
      </c>
      <c r="I37" s="5" t="s">
        <v>816</v>
      </c>
    </row>
    <row r="38" customFormat="false" ht="15" hidden="false" customHeight="false" outlineLevel="0" collapsed="false">
      <c r="A38" s="5" t="s">
        <v>817</v>
      </c>
      <c r="B38" s="5" t="s">
        <v>234</v>
      </c>
      <c r="C38" s="5" t="s">
        <v>739</v>
      </c>
      <c r="D38" s="5" t="n">
        <v>25</v>
      </c>
      <c r="E38" s="5" t="n">
        <v>12</v>
      </c>
      <c r="F38" s="5" t="n">
        <f aca="false">D38-E38</f>
        <v>13</v>
      </c>
      <c r="G38" s="5" t="n">
        <v>15</v>
      </c>
      <c r="H38" s="5" t="s">
        <v>818</v>
      </c>
      <c r="I38" s="5" t="s">
        <v>819</v>
      </c>
    </row>
    <row r="39" customFormat="false" ht="15" hidden="false" customHeight="false" outlineLevel="0" collapsed="false">
      <c r="A39" s="5" t="s">
        <v>820</v>
      </c>
      <c r="B39" s="5" t="s">
        <v>234</v>
      </c>
      <c r="C39" s="5" t="s">
        <v>747</v>
      </c>
      <c r="D39" s="5" t="n">
        <v>80</v>
      </c>
      <c r="E39" s="5" t="n">
        <v>12</v>
      </c>
      <c r="F39" s="5" t="n">
        <f aca="false">D39-E39</f>
        <v>68</v>
      </c>
      <c r="G39" s="5" t="n">
        <v>5</v>
      </c>
      <c r="H39" s="5" t="s">
        <v>821</v>
      </c>
      <c r="I39" s="5" t="s">
        <v>355</v>
      </c>
    </row>
    <row r="40" customFormat="false" ht="15" hidden="false" customHeight="false" outlineLevel="0" collapsed="false">
      <c r="A40" s="5" t="s">
        <v>822</v>
      </c>
      <c r="B40" s="5" t="s">
        <v>236</v>
      </c>
      <c r="C40" s="5" t="s">
        <v>744</v>
      </c>
      <c r="D40" s="5" t="n">
        <v>80</v>
      </c>
      <c r="E40" s="5" t="n">
        <v>5</v>
      </c>
      <c r="F40" s="5" t="n">
        <f aca="false">D40-E40</f>
        <v>75</v>
      </c>
      <c r="G40" s="5" t="n">
        <v>15</v>
      </c>
      <c r="H40" s="5" t="s">
        <v>823</v>
      </c>
      <c r="I40" s="5" t="s">
        <v>420</v>
      </c>
    </row>
    <row r="41" customFormat="false" ht="15" hidden="false" customHeight="false" outlineLevel="0" collapsed="false">
      <c r="A41" s="5" t="s">
        <v>824</v>
      </c>
      <c r="B41" s="5" t="s">
        <v>238</v>
      </c>
      <c r="C41" s="5" t="s">
        <v>739</v>
      </c>
      <c r="D41" s="5" t="n">
        <v>10</v>
      </c>
      <c r="E41" s="5" t="n">
        <v>5</v>
      </c>
      <c r="F41" s="5" t="n">
        <f aca="false">D41-E41</f>
        <v>5</v>
      </c>
      <c r="G41" s="5" t="n">
        <v>10</v>
      </c>
      <c r="H41" s="5" t="s">
        <v>825</v>
      </c>
      <c r="I41" s="5" t="s">
        <v>402</v>
      </c>
    </row>
    <row r="42" customFormat="false" ht="15" hidden="false" customHeight="false" outlineLevel="0" collapsed="false">
      <c r="A42" s="5" t="s">
        <v>826</v>
      </c>
      <c r="B42" s="5" t="s">
        <v>238</v>
      </c>
      <c r="C42" s="5" t="s">
        <v>744</v>
      </c>
      <c r="D42" s="5" t="n">
        <v>15</v>
      </c>
      <c r="E42" s="5" t="n">
        <v>2</v>
      </c>
      <c r="F42" s="5" t="n">
        <f aca="false">D42-E42</f>
        <v>13</v>
      </c>
      <c r="G42" s="5" t="n">
        <v>10</v>
      </c>
      <c r="H42" s="5" t="s">
        <v>827</v>
      </c>
      <c r="I42" s="5" t="s">
        <v>420</v>
      </c>
    </row>
    <row r="43" customFormat="false" ht="15" hidden="false" customHeight="false" outlineLevel="0" collapsed="false">
      <c r="A43" s="5" t="s">
        <v>828</v>
      </c>
      <c r="B43" s="5" t="s">
        <v>241</v>
      </c>
      <c r="C43" s="5" t="s">
        <v>739</v>
      </c>
      <c r="D43" s="5" t="n">
        <v>120</v>
      </c>
      <c r="E43" s="5" t="n">
        <v>8</v>
      </c>
      <c r="F43" s="5" t="n">
        <f aca="false">D43-E43</f>
        <v>112</v>
      </c>
      <c r="G43" s="5" t="n">
        <v>5</v>
      </c>
      <c r="H43" s="5" t="s">
        <v>829</v>
      </c>
      <c r="I43" s="5" t="s">
        <v>830</v>
      </c>
    </row>
    <row r="44" customFormat="false" ht="15" hidden="false" customHeight="false" outlineLevel="0" collapsed="false">
      <c r="A44" s="5" t="s">
        <v>831</v>
      </c>
      <c r="B44" s="5" t="s">
        <v>241</v>
      </c>
      <c r="C44" s="5" t="s">
        <v>744</v>
      </c>
      <c r="D44" s="5" t="n">
        <v>120</v>
      </c>
      <c r="E44" s="5" t="n">
        <v>26</v>
      </c>
      <c r="F44" s="5" t="n">
        <f aca="false">D44-E44</f>
        <v>94</v>
      </c>
      <c r="G44" s="5" t="n">
        <v>20</v>
      </c>
      <c r="H44" s="5" t="s">
        <v>832</v>
      </c>
      <c r="I44" s="5" t="s">
        <v>616</v>
      </c>
    </row>
    <row r="45" customFormat="false" ht="15" hidden="false" customHeight="false" outlineLevel="0" collapsed="false">
      <c r="A45" s="5" t="s">
        <v>833</v>
      </c>
      <c r="B45" s="5" t="s">
        <v>243</v>
      </c>
      <c r="C45" s="5" t="s">
        <v>747</v>
      </c>
      <c r="D45" s="5" t="n">
        <v>80</v>
      </c>
      <c r="E45" s="5" t="n">
        <v>33</v>
      </c>
      <c r="F45" s="5" t="n">
        <f aca="false">D45-E45</f>
        <v>47</v>
      </c>
      <c r="G45" s="5" t="n">
        <v>15</v>
      </c>
      <c r="H45" s="5" t="s">
        <v>834</v>
      </c>
      <c r="I45" s="5" t="s">
        <v>362</v>
      </c>
    </row>
    <row r="46" customFormat="false" ht="15" hidden="false" customHeight="false" outlineLevel="0" collapsed="false">
      <c r="A46" s="5" t="s">
        <v>835</v>
      </c>
      <c r="B46" s="5" t="s">
        <v>243</v>
      </c>
      <c r="C46" s="5" t="s">
        <v>739</v>
      </c>
      <c r="D46" s="5" t="n">
        <v>10</v>
      </c>
      <c r="E46" s="5" t="n">
        <v>1</v>
      </c>
      <c r="F46" s="5" t="n">
        <f aca="false">D46-E46</f>
        <v>9</v>
      </c>
      <c r="G46" s="5" t="n">
        <v>20</v>
      </c>
      <c r="H46" s="5" t="s">
        <v>836</v>
      </c>
      <c r="I46" s="5" t="s">
        <v>402</v>
      </c>
    </row>
    <row r="47" customFormat="false" ht="15" hidden="false" customHeight="false" outlineLevel="0" collapsed="false">
      <c r="A47" s="6" t="s">
        <v>837</v>
      </c>
      <c r="B47" s="6" t="s">
        <v>245</v>
      </c>
      <c r="C47" s="6" t="s">
        <v>747</v>
      </c>
      <c r="D47" s="6" t="n">
        <v>1</v>
      </c>
      <c r="E47" s="6" t="n">
        <v>0</v>
      </c>
      <c r="F47" s="6" t="n">
        <f aca="false">D47-E47</f>
        <v>1</v>
      </c>
      <c r="G47" s="6" t="n">
        <v>15</v>
      </c>
      <c r="H47" s="6" t="s">
        <v>838</v>
      </c>
      <c r="I47" s="6" t="s">
        <v>641</v>
      </c>
    </row>
    <row r="48" customFormat="false" ht="15" hidden="false" customHeight="false" outlineLevel="0" collapsed="false">
      <c r="A48" s="5" t="s">
        <v>839</v>
      </c>
      <c r="B48" s="5" t="s">
        <v>245</v>
      </c>
      <c r="C48" s="5" t="s">
        <v>739</v>
      </c>
      <c r="D48" s="5" t="n">
        <v>4</v>
      </c>
      <c r="E48" s="5" t="n">
        <v>1</v>
      </c>
      <c r="F48" s="5" t="n">
        <f aca="false">D48-E48</f>
        <v>3</v>
      </c>
      <c r="G48" s="5" t="n">
        <v>10</v>
      </c>
      <c r="H48" s="5" t="s">
        <v>840</v>
      </c>
      <c r="I48" s="5" t="s">
        <v>418</v>
      </c>
    </row>
    <row r="49" customFormat="false" ht="15" hidden="false" customHeight="false" outlineLevel="0" collapsed="false">
      <c r="A49" s="5" t="s">
        <v>841</v>
      </c>
      <c r="B49" s="5" t="s">
        <v>247</v>
      </c>
      <c r="C49" s="5" t="s">
        <v>744</v>
      </c>
      <c r="D49" s="5" t="n">
        <v>120</v>
      </c>
      <c r="E49" s="5" t="n">
        <v>5</v>
      </c>
      <c r="F49" s="5" t="n">
        <f aca="false">D49-E49</f>
        <v>115</v>
      </c>
      <c r="G49" s="5" t="n">
        <v>10</v>
      </c>
      <c r="H49" s="5" t="s">
        <v>842</v>
      </c>
      <c r="I49" s="5" t="s">
        <v>422</v>
      </c>
    </row>
    <row r="50" customFormat="false" ht="15" hidden="false" customHeight="false" outlineLevel="0" collapsed="false">
      <c r="A50" s="5" t="s">
        <v>843</v>
      </c>
      <c r="B50" s="5" t="s">
        <v>249</v>
      </c>
      <c r="C50" s="5" t="s">
        <v>744</v>
      </c>
      <c r="D50" s="5" t="n">
        <v>0</v>
      </c>
      <c r="E50" s="5" t="n">
        <v>0</v>
      </c>
      <c r="F50" s="5" t="n">
        <f aca="false">D50-E50</f>
        <v>0</v>
      </c>
      <c r="G50" s="5" t="n">
        <v>5</v>
      </c>
      <c r="H50" s="5" t="s">
        <v>844</v>
      </c>
      <c r="I50" s="5" t="s">
        <v>348</v>
      </c>
    </row>
    <row r="51" customFormat="false" ht="15" hidden="false" customHeight="false" outlineLevel="0" collapsed="false">
      <c r="A51" s="5" t="s">
        <v>845</v>
      </c>
      <c r="B51" s="5" t="s">
        <v>249</v>
      </c>
      <c r="C51" s="5" t="s">
        <v>739</v>
      </c>
      <c r="D51" s="5" t="n">
        <v>15</v>
      </c>
      <c r="E51" s="5" t="n">
        <v>6</v>
      </c>
      <c r="F51" s="5" t="n">
        <f aca="false">D51-E51</f>
        <v>9</v>
      </c>
      <c r="G51" s="5" t="n">
        <v>5</v>
      </c>
      <c r="H51" s="5" t="s">
        <v>765</v>
      </c>
      <c r="I51" s="5" t="s">
        <v>516</v>
      </c>
    </row>
    <row r="52" customFormat="false" ht="15" hidden="false" customHeight="false" outlineLevel="0" collapsed="false">
      <c r="A52" s="5" t="s">
        <v>846</v>
      </c>
      <c r="B52" s="5" t="s">
        <v>251</v>
      </c>
      <c r="C52" s="5" t="s">
        <v>739</v>
      </c>
      <c r="D52" s="5" t="n">
        <v>15</v>
      </c>
      <c r="E52" s="5" t="n">
        <v>6</v>
      </c>
      <c r="F52" s="5" t="n">
        <f aca="false">D52-E52</f>
        <v>9</v>
      </c>
      <c r="G52" s="5" t="n">
        <v>15</v>
      </c>
      <c r="H52" s="5" t="s">
        <v>847</v>
      </c>
      <c r="I52" s="5" t="s">
        <v>426</v>
      </c>
    </row>
    <row r="53" customFormat="false" ht="15" hidden="false" customHeight="false" outlineLevel="0" collapsed="false">
      <c r="A53" s="5" t="s">
        <v>848</v>
      </c>
      <c r="B53" s="5" t="s">
        <v>251</v>
      </c>
      <c r="C53" s="5" t="s">
        <v>744</v>
      </c>
      <c r="D53" s="5" t="n">
        <v>80</v>
      </c>
      <c r="E53" s="5" t="n">
        <v>26</v>
      </c>
      <c r="F53" s="5" t="n">
        <f aca="false">D53-E53</f>
        <v>54</v>
      </c>
      <c r="G53" s="5" t="n">
        <v>20</v>
      </c>
      <c r="H53" s="5" t="s">
        <v>849</v>
      </c>
      <c r="I53" s="5" t="s">
        <v>761</v>
      </c>
    </row>
    <row r="54" customFormat="false" ht="15" hidden="false" customHeight="false" outlineLevel="0" collapsed="false">
      <c r="A54" s="5" t="s">
        <v>850</v>
      </c>
      <c r="B54" s="5" t="s">
        <v>253</v>
      </c>
      <c r="C54" s="5" t="s">
        <v>739</v>
      </c>
      <c r="D54" s="5" t="n">
        <v>40</v>
      </c>
      <c r="E54" s="5" t="n">
        <v>11</v>
      </c>
      <c r="F54" s="5" t="n">
        <f aca="false">D54-E54</f>
        <v>29</v>
      </c>
      <c r="G54" s="5" t="n">
        <v>20</v>
      </c>
      <c r="H54" s="5" t="s">
        <v>851</v>
      </c>
      <c r="I54" s="5" t="s">
        <v>601</v>
      </c>
    </row>
    <row r="55" customFormat="false" ht="15" hidden="false" customHeight="false" outlineLevel="0" collapsed="false">
      <c r="A55" s="5" t="s">
        <v>852</v>
      </c>
      <c r="B55" s="5" t="s">
        <v>255</v>
      </c>
      <c r="C55" s="5" t="s">
        <v>747</v>
      </c>
      <c r="D55" s="5" t="n">
        <v>15</v>
      </c>
      <c r="E55" s="5" t="n">
        <v>7</v>
      </c>
      <c r="F55" s="5" t="n">
        <f aca="false">D55-E55</f>
        <v>8</v>
      </c>
      <c r="G55" s="5" t="n">
        <v>5</v>
      </c>
      <c r="H55" s="5" t="s">
        <v>853</v>
      </c>
      <c r="I55" s="5" t="s">
        <v>411</v>
      </c>
    </row>
    <row r="56" customFormat="false" ht="15" hidden="false" customHeight="false" outlineLevel="0" collapsed="false">
      <c r="A56" s="5" t="s">
        <v>854</v>
      </c>
      <c r="B56" s="5" t="s">
        <v>255</v>
      </c>
      <c r="C56" s="5" t="s">
        <v>739</v>
      </c>
      <c r="D56" s="5" t="n">
        <v>4</v>
      </c>
      <c r="E56" s="5" t="n">
        <v>0</v>
      </c>
      <c r="F56" s="5" t="n">
        <f aca="false">D56-E56</f>
        <v>4</v>
      </c>
      <c r="G56" s="5" t="n">
        <v>15</v>
      </c>
      <c r="H56" s="5" t="s">
        <v>855</v>
      </c>
      <c r="I56" s="5" t="s">
        <v>358</v>
      </c>
    </row>
    <row r="57" customFormat="false" ht="15" hidden="false" customHeight="false" outlineLevel="0" collapsed="false">
      <c r="A57" s="5" t="s">
        <v>856</v>
      </c>
      <c r="B57" s="5" t="s">
        <v>257</v>
      </c>
      <c r="C57" s="5" t="s">
        <v>739</v>
      </c>
      <c r="D57" s="5" t="n">
        <v>40</v>
      </c>
      <c r="E57" s="5" t="n">
        <v>6</v>
      </c>
      <c r="F57" s="5" t="n">
        <f aca="false">D57-E57</f>
        <v>34</v>
      </c>
      <c r="G57" s="5" t="n">
        <v>10</v>
      </c>
      <c r="H57" s="5" t="s">
        <v>857</v>
      </c>
      <c r="I57" s="5" t="s">
        <v>816</v>
      </c>
    </row>
    <row r="58" customFormat="false" ht="15" hidden="false" customHeight="false" outlineLevel="0" collapsed="false">
      <c r="A58" s="5" t="s">
        <v>858</v>
      </c>
      <c r="B58" s="5" t="s">
        <v>259</v>
      </c>
      <c r="C58" s="5" t="s">
        <v>739</v>
      </c>
      <c r="D58" s="5" t="n">
        <v>0</v>
      </c>
      <c r="E58" s="5" t="n">
        <v>0</v>
      </c>
      <c r="F58" s="5" t="n">
        <f aca="false">D58-E58</f>
        <v>0</v>
      </c>
      <c r="G58" s="5" t="n">
        <v>20</v>
      </c>
      <c r="H58" s="5" t="s">
        <v>859</v>
      </c>
      <c r="I58" s="5" t="s">
        <v>401</v>
      </c>
    </row>
    <row r="59" customFormat="false" ht="15" hidden="false" customHeight="false" outlineLevel="0" collapsed="false">
      <c r="A59" s="5" t="s">
        <v>860</v>
      </c>
      <c r="B59" s="5" t="s">
        <v>261</v>
      </c>
      <c r="C59" s="5" t="s">
        <v>739</v>
      </c>
      <c r="D59" s="5" t="n">
        <v>0</v>
      </c>
      <c r="E59" s="5" t="n">
        <v>0</v>
      </c>
      <c r="F59" s="5" t="n">
        <f aca="false">D59-E59</f>
        <v>0</v>
      </c>
      <c r="G59" s="5" t="n">
        <v>20</v>
      </c>
      <c r="H59" s="5" t="s">
        <v>861</v>
      </c>
      <c r="I59" s="5" t="s">
        <v>641</v>
      </c>
    </row>
    <row r="60" customFormat="false" ht="15" hidden="false" customHeight="false" outlineLevel="0" collapsed="false">
      <c r="A60" s="5" t="s">
        <v>862</v>
      </c>
      <c r="B60" s="5" t="s">
        <v>261</v>
      </c>
      <c r="C60" s="5" t="s">
        <v>747</v>
      </c>
      <c r="D60" s="5" t="n">
        <v>120</v>
      </c>
      <c r="E60" s="5" t="n">
        <v>0</v>
      </c>
      <c r="F60" s="5" t="n">
        <f aca="false">D60-E60</f>
        <v>120</v>
      </c>
      <c r="G60" s="5" t="n">
        <v>5</v>
      </c>
      <c r="H60" s="5" t="s">
        <v>863</v>
      </c>
      <c r="I60" s="5" t="s">
        <v>506</v>
      </c>
    </row>
    <row r="61" customFormat="false" ht="15" hidden="false" customHeight="false" outlineLevel="0" collapsed="false">
      <c r="A61" s="5" t="s">
        <v>864</v>
      </c>
      <c r="B61" s="5" t="s">
        <v>263</v>
      </c>
      <c r="C61" s="5" t="s">
        <v>739</v>
      </c>
      <c r="D61" s="5" t="n">
        <v>0</v>
      </c>
      <c r="E61" s="5" t="n">
        <v>0</v>
      </c>
      <c r="F61" s="5" t="n">
        <f aca="false">D61-E61</f>
        <v>0</v>
      </c>
      <c r="G61" s="5" t="n">
        <v>5</v>
      </c>
      <c r="H61" s="5" t="s">
        <v>865</v>
      </c>
      <c r="I61" s="5" t="s">
        <v>506</v>
      </c>
    </row>
    <row r="62" customFormat="false" ht="15" hidden="false" customHeight="false" outlineLevel="0" collapsed="false">
      <c r="A62" s="5" t="s">
        <v>866</v>
      </c>
      <c r="B62" s="5" t="s">
        <v>265</v>
      </c>
      <c r="C62" s="5" t="s">
        <v>739</v>
      </c>
      <c r="D62" s="5" t="n">
        <v>60</v>
      </c>
      <c r="E62" s="5" t="n">
        <v>16</v>
      </c>
      <c r="F62" s="5" t="n">
        <f aca="false">D62-E62</f>
        <v>44</v>
      </c>
      <c r="G62" s="5" t="n">
        <v>20</v>
      </c>
      <c r="H62" s="5" t="s">
        <v>867</v>
      </c>
      <c r="I62" s="5" t="s">
        <v>481</v>
      </c>
    </row>
    <row r="63" customFormat="false" ht="15" hidden="false" customHeight="false" outlineLevel="0" collapsed="false">
      <c r="A63" s="5" t="s">
        <v>868</v>
      </c>
      <c r="B63" s="5" t="s">
        <v>265</v>
      </c>
      <c r="C63" s="5" t="s">
        <v>747</v>
      </c>
      <c r="D63" s="5" t="n">
        <v>4</v>
      </c>
      <c r="E63" s="5" t="n">
        <v>1</v>
      </c>
      <c r="F63" s="5" t="n">
        <f aca="false">D63-E63</f>
        <v>3</v>
      </c>
      <c r="G63" s="5" t="n">
        <v>15</v>
      </c>
      <c r="H63" s="5" t="s">
        <v>869</v>
      </c>
      <c r="I63" s="5" t="s">
        <v>411</v>
      </c>
    </row>
    <row r="64" customFormat="false" ht="15" hidden="false" customHeight="false" outlineLevel="0" collapsed="false">
      <c r="A64" s="5" t="s">
        <v>870</v>
      </c>
      <c r="B64" s="5" t="s">
        <v>267</v>
      </c>
      <c r="C64" s="5" t="s">
        <v>744</v>
      </c>
      <c r="D64" s="5" t="n">
        <v>120</v>
      </c>
      <c r="E64" s="5" t="n">
        <v>25</v>
      </c>
      <c r="F64" s="5" t="n">
        <f aca="false">D64-E64</f>
        <v>95</v>
      </c>
      <c r="G64" s="5" t="n">
        <v>5</v>
      </c>
      <c r="H64" s="5" t="s">
        <v>871</v>
      </c>
      <c r="I64" s="5" t="s">
        <v>872</v>
      </c>
    </row>
    <row r="65" customFormat="false" ht="15" hidden="false" customHeight="false" outlineLevel="0" collapsed="false">
      <c r="A65" s="5" t="s">
        <v>873</v>
      </c>
      <c r="B65" s="5" t="s">
        <v>269</v>
      </c>
      <c r="C65" s="5" t="s">
        <v>744</v>
      </c>
      <c r="D65" s="5" t="n">
        <v>80</v>
      </c>
      <c r="E65" s="5" t="n">
        <v>9</v>
      </c>
      <c r="F65" s="5" t="n">
        <f aca="false">D65-E65</f>
        <v>71</v>
      </c>
      <c r="G65" s="5" t="n">
        <v>10</v>
      </c>
      <c r="H65" s="5" t="s">
        <v>874</v>
      </c>
      <c r="I65" s="5" t="s">
        <v>426</v>
      </c>
    </row>
    <row r="66" customFormat="false" ht="15" hidden="false" customHeight="false" outlineLevel="0" collapsed="false">
      <c r="A66" s="5" t="s">
        <v>875</v>
      </c>
      <c r="B66" s="5" t="s">
        <v>271</v>
      </c>
      <c r="C66" s="5" t="s">
        <v>744</v>
      </c>
      <c r="D66" s="5" t="n">
        <v>25</v>
      </c>
      <c r="E66" s="5" t="n">
        <v>9</v>
      </c>
      <c r="F66" s="5" t="n">
        <f aca="false">D66-E66</f>
        <v>16</v>
      </c>
      <c r="G66" s="5" t="n">
        <v>15</v>
      </c>
      <c r="H66" s="5" t="s">
        <v>876</v>
      </c>
      <c r="I66" s="5" t="s">
        <v>344</v>
      </c>
    </row>
    <row r="67" customFormat="false" ht="15" hidden="false" customHeight="false" outlineLevel="0" collapsed="false">
      <c r="A67" s="5" t="s">
        <v>877</v>
      </c>
      <c r="B67" s="5" t="s">
        <v>273</v>
      </c>
      <c r="C67" s="5" t="s">
        <v>744</v>
      </c>
      <c r="D67" s="5" t="n">
        <v>25</v>
      </c>
      <c r="E67" s="5" t="n">
        <v>7</v>
      </c>
      <c r="F67" s="5" t="n">
        <f aca="false">D67-E67</f>
        <v>18</v>
      </c>
      <c r="G67" s="5" t="n">
        <v>5</v>
      </c>
      <c r="H67" s="5" t="s">
        <v>878</v>
      </c>
      <c r="I67" s="5" t="s">
        <v>489</v>
      </c>
    </row>
    <row r="68" customFormat="false" ht="15" hidden="false" customHeight="false" outlineLevel="0" collapsed="false">
      <c r="A68" s="5" t="s">
        <v>879</v>
      </c>
      <c r="B68" s="5" t="s">
        <v>275</v>
      </c>
      <c r="C68" s="5" t="s">
        <v>739</v>
      </c>
      <c r="D68" s="5" t="n">
        <v>80</v>
      </c>
      <c r="E68" s="5" t="n">
        <v>16</v>
      </c>
      <c r="F68" s="5" t="n">
        <f aca="false">D68-E68</f>
        <v>64</v>
      </c>
      <c r="G68" s="5" t="n">
        <v>10</v>
      </c>
      <c r="H68" s="5" t="s">
        <v>880</v>
      </c>
      <c r="I68" s="5" t="s">
        <v>422</v>
      </c>
    </row>
    <row r="69" customFormat="false" ht="15" hidden="false" customHeight="false" outlineLevel="0" collapsed="false">
      <c r="A69" s="5" t="s">
        <v>881</v>
      </c>
      <c r="B69" s="5" t="s">
        <v>275</v>
      </c>
      <c r="C69" s="5" t="s">
        <v>747</v>
      </c>
      <c r="D69" s="5" t="n">
        <v>120</v>
      </c>
      <c r="E69" s="5" t="n">
        <v>40</v>
      </c>
      <c r="F69" s="5" t="n">
        <f aca="false">D69-E69</f>
        <v>80</v>
      </c>
      <c r="G69" s="5" t="n">
        <v>20</v>
      </c>
      <c r="H69" s="5" t="s">
        <v>760</v>
      </c>
      <c r="I69" s="5" t="s">
        <v>475</v>
      </c>
    </row>
    <row r="70" customFormat="false" ht="15" hidden="false" customHeight="false" outlineLevel="0" collapsed="false">
      <c r="A70" s="5" t="s">
        <v>882</v>
      </c>
      <c r="B70" s="5" t="s">
        <v>277</v>
      </c>
      <c r="C70" s="5" t="s">
        <v>744</v>
      </c>
      <c r="D70" s="5" t="n">
        <v>15</v>
      </c>
      <c r="E70" s="5" t="n">
        <v>0</v>
      </c>
      <c r="F70" s="5" t="n">
        <f aca="false">D70-E70</f>
        <v>15</v>
      </c>
      <c r="G70" s="5" t="n">
        <v>20</v>
      </c>
      <c r="H70" s="5" t="s">
        <v>883</v>
      </c>
      <c r="I70" s="5" t="s">
        <v>677</v>
      </c>
    </row>
    <row r="71" customFormat="false" ht="15" hidden="false" customHeight="false" outlineLevel="0" collapsed="false">
      <c r="A71" s="5" t="s">
        <v>884</v>
      </c>
      <c r="B71" s="5" t="s">
        <v>277</v>
      </c>
      <c r="C71" s="5" t="s">
        <v>747</v>
      </c>
      <c r="D71" s="5" t="n">
        <v>15</v>
      </c>
      <c r="E71" s="5" t="n">
        <v>6</v>
      </c>
      <c r="F71" s="5" t="n">
        <f aca="false">D71-E71</f>
        <v>9</v>
      </c>
      <c r="G71" s="5" t="n">
        <v>20</v>
      </c>
      <c r="H71" s="5" t="s">
        <v>885</v>
      </c>
      <c r="I71" s="5" t="s">
        <v>321</v>
      </c>
    </row>
    <row r="72" customFormat="false" ht="15" hidden="false" customHeight="false" outlineLevel="0" collapsed="false">
      <c r="A72" s="5" t="s">
        <v>886</v>
      </c>
      <c r="B72" s="5" t="s">
        <v>279</v>
      </c>
      <c r="C72" s="5" t="s">
        <v>744</v>
      </c>
      <c r="D72" s="5" t="n">
        <v>40</v>
      </c>
      <c r="E72" s="5" t="n">
        <v>15</v>
      </c>
      <c r="F72" s="5" t="n">
        <f aca="false">D72-E72</f>
        <v>25</v>
      </c>
      <c r="G72" s="5" t="n">
        <v>20</v>
      </c>
      <c r="H72" s="5" t="s">
        <v>887</v>
      </c>
      <c r="I72" s="5" t="s">
        <v>344</v>
      </c>
    </row>
    <row r="73" customFormat="false" ht="15" hidden="false" customHeight="false" outlineLevel="0" collapsed="false">
      <c r="A73" s="5" t="s">
        <v>888</v>
      </c>
      <c r="B73" s="5" t="s">
        <v>281</v>
      </c>
      <c r="C73" s="5" t="s">
        <v>744</v>
      </c>
      <c r="D73" s="5" t="n">
        <v>40</v>
      </c>
      <c r="E73" s="5" t="n">
        <v>20</v>
      </c>
      <c r="F73" s="5" t="n">
        <f aca="false">D73-E73</f>
        <v>20</v>
      </c>
      <c r="G73" s="5" t="n">
        <v>15</v>
      </c>
      <c r="H73" s="5" t="s">
        <v>889</v>
      </c>
      <c r="I73" s="5" t="s">
        <v>358</v>
      </c>
    </row>
    <row r="74" customFormat="false" ht="15" hidden="false" customHeight="false" outlineLevel="0" collapsed="false">
      <c r="A74" s="5" t="s">
        <v>890</v>
      </c>
      <c r="B74" s="5" t="s">
        <v>283</v>
      </c>
      <c r="C74" s="5" t="s">
        <v>744</v>
      </c>
      <c r="D74" s="5" t="n">
        <v>25</v>
      </c>
      <c r="E74" s="5" t="n">
        <v>3</v>
      </c>
      <c r="F74" s="5" t="n">
        <f aca="false">D74-E74</f>
        <v>22</v>
      </c>
      <c r="G74" s="5" t="n">
        <v>15</v>
      </c>
      <c r="H74" s="5" t="s">
        <v>891</v>
      </c>
      <c r="I74" s="5" t="s">
        <v>819</v>
      </c>
    </row>
    <row r="75" customFormat="false" ht="15" hidden="false" customHeight="false" outlineLevel="0" collapsed="false">
      <c r="A75" s="5" t="s">
        <v>892</v>
      </c>
      <c r="B75" s="5" t="s">
        <v>285</v>
      </c>
      <c r="C75" s="5" t="s">
        <v>739</v>
      </c>
      <c r="D75" s="5" t="n">
        <v>80</v>
      </c>
      <c r="E75" s="5" t="n">
        <v>22</v>
      </c>
      <c r="F75" s="5" t="n">
        <f aca="false">D75-E75</f>
        <v>58</v>
      </c>
      <c r="G75" s="5" t="n">
        <v>15</v>
      </c>
      <c r="H75" s="5" t="s">
        <v>740</v>
      </c>
      <c r="I75" s="5" t="s">
        <v>499</v>
      </c>
    </row>
    <row r="76" customFormat="false" ht="15" hidden="false" customHeight="false" outlineLevel="0" collapsed="false">
      <c r="A76" s="5" t="s">
        <v>893</v>
      </c>
      <c r="B76" s="5" t="s">
        <v>285</v>
      </c>
      <c r="C76" s="5" t="s">
        <v>744</v>
      </c>
      <c r="D76" s="5" t="n">
        <v>60</v>
      </c>
      <c r="E76" s="5" t="n">
        <v>26</v>
      </c>
      <c r="F76" s="5" t="n">
        <f aca="false">D76-E76</f>
        <v>34</v>
      </c>
      <c r="G76" s="5" t="n">
        <v>15</v>
      </c>
      <c r="H76" s="5" t="s">
        <v>894</v>
      </c>
      <c r="I76" s="5" t="s">
        <v>641</v>
      </c>
    </row>
    <row r="77" customFormat="false" ht="15" hidden="false" customHeight="false" outlineLevel="0" collapsed="false">
      <c r="A77" s="5" t="s">
        <v>895</v>
      </c>
      <c r="B77" s="5" t="s">
        <v>287</v>
      </c>
      <c r="C77" s="5" t="s">
        <v>747</v>
      </c>
      <c r="D77" s="5" t="n">
        <v>80</v>
      </c>
      <c r="E77" s="5" t="n">
        <v>16</v>
      </c>
      <c r="F77" s="5" t="n">
        <f aca="false">D77-E77</f>
        <v>64</v>
      </c>
      <c r="G77" s="5" t="n">
        <v>20</v>
      </c>
      <c r="H77" s="5" t="s">
        <v>896</v>
      </c>
      <c r="I77" s="5" t="s">
        <v>799</v>
      </c>
    </row>
    <row r="78" customFormat="false" ht="15" hidden="false" customHeight="false" outlineLevel="0" collapsed="false">
      <c r="A78" s="5" t="s">
        <v>897</v>
      </c>
      <c r="B78" s="5" t="s">
        <v>287</v>
      </c>
      <c r="C78" s="5" t="s">
        <v>739</v>
      </c>
      <c r="D78" s="5" t="n">
        <v>120</v>
      </c>
      <c r="E78" s="5" t="n">
        <v>44</v>
      </c>
      <c r="F78" s="5" t="n">
        <f aca="false">D78-E78</f>
        <v>76</v>
      </c>
      <c r="G78" s="5" t="n">
        <v>15</v>
      </c>
      <c r="H78" s="5" t="s">
        <v>898</v>
      </c>
      <c r="I78" s="5" t="s">
        <v>358</v>
      </c>
    </row>
    <row r="79" customFormat="false" ht="15" hidden="false" customHeight="false" outlineLevel="0" collapsed="false">
      <c r="A79" s="5" t="s">
        <v>899</v>
      </c>
      <c r="B79" s="5" t="s">
        <v>289</v>
      </c>
      <c r="C79" s="5" t="s">
        <v>744</v>
      </c>
      <c r="D79" s="5" t="n">
        <v>120</v>
      </c>
      <c r="E79" s="5" t="n">
        <v>14</v>
      </c>
      <c r="F79" s="5" t="n">
        <f aca="false">D79-E79</f>
        <v>106</v>
      </c>
      <c r="G79" s="5" t="n">
        <v>10</v>
      </c>
      <c r="H79" s="5" t="s">
        <v>900</v>
      </c>
      <c r="I79" s="5" t="s">
        <v>872</v>
      </c>
    </row>
    <row r="80" customFormat="false" ht="15" hidden="false" customHeight="false" outlineLevel="0" collapsed="false">
      <c r="A80" s="5" t="s">
        <v>901</v>
      </c>
      <c r="B80" s="5" t="s">
        <v>291</v>
      </c>
      <c r="C80" s="5" t="s">
        <v>739</v>
      </c>
      <c r="D80" s="5" t="n">
        <v>10</v>
      </c>
      <c r="E80" s="5" t="n">
        <v>0</v>
      </c>
      <c r="F80" s="5" t="n">
        <f aca="false">D80-E80</f>
        <v>10</v>
      </c>
      <c r="G80" s="5" t="n">
        <v>10</v>
      </c>
      <c r="H80" s="5" t="s">
        <v>902</v>
      </c>
      <c r="I80" s="5" t="s">
        <v>830</v>
      </c>
    </row>
    <row r="81" customFormat="false" ht="15" hidden="false" customHeight="false" outlineLevel="0" collapsed="false">
      <c r="A81" s="5" t="s">
        <v>903</v>
      </c>
      <c r="B81" s="5" t="s">
        <v>291</v>
      </c>
      <c r="C81" s="5" t="s">
        <v>747</v>
      </c>
      <c r="D81" s="5" t="n">
        <v>15</v>
      </c>
      <c r="E81" s="5" t="n">
        <v>4</v>
      </c>
      <c r="F81" s="5" t="n">
        <f aca="false">D81-E81</f>
        <v>11</v>
      </c>
      <c r="G81" s="5" t="n">
        <v>15</v>
      </c>
      <c r="H81" s="5" t="s">
        <v>904</v>
      </c>
      <c r="I81" s="5" t="s">
        <v>588</v>
      </c>
    </row>
    <row r="82" customFormat="false" ht="15" hidden="false" customHeight="false" outlineLevel="0" collapsed="false">
      <c r="A82" s="5" t="s">
        <v>905</v>
      </c>
      <c r="B82" s="5" t="s">
        <v>293</v>
      </c>
      <c r="C82" s="5" t="s">
        <v>744</v>
      </c>
      <c r="D82" s="5" t="n">
        <v>120</v>
      </c>
      <c r="E82" s="5" t="n">
        <v>47</v>
      </c>
      <c r="F82" s="5" t="n">
        <f aca="false">D82-E82</f>
        <v>73</v>
      </c>
      <c r="G82" s="5" t="n">
        <v>5</v>
      </c>
      <c r="H82" s="5" t="s">
        <v>906</v>
      </c>
      <c r="I82" s="5" t="s">
        <v>475</v>
      </c>
    </row>
    <row r="83" customFormat="false" ht="15" hidden="false" customHeight="false" outlineLevel="0" collapsed="false">
      <c r="A83" s="5" t="s">
        <v>907</v>
      </c>
      <c r="B83" s="5" t="s">
        <v>293</v>
      </c>
      <c r="C83" s="5" t="s">
        <v>747</v>
      </c>
      <c r="D83" s="5" t="n">
        <v>60</v>
      </c>
      <c r="E83" s="5" t="n">
        <v>25</v>
      </c>
      <c r="F83" s="5" t="n">
        <f aca="false">D83-E83</f>
        <v>35</v>
      </c>
      <c r="G83" s="5" t="n">
        <v>20</v>
      </c>
      <c r="H83" s="5" t="s">
        <v>908</v>
      </c>
      <c r="I83" s="5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4" t="s">
        <v>909</v>
      </c>
      <c r="B1" s="4" t="s">
        <v>910</v>
      </c>
      <c r="C1" s="4" t="s">
        <v>911</v>
      </c>
      <c r="D1" s="4" t="s">
        <v>912</v>
      </c>
      <c r="E1" s="4" t="s">
        <v>913</v>
      </c>
      <c r="F1" s="4" t="s">
        <v>914</v>
      </c>
    </row>
    <row r="2" customFormat="false" ht="15" hidden="false" customHeight="false" outlineLevel="0" collapsed="false">
      <c r="A2" s="5" t="s">
        <v>915</v>
      </c>
      <c r="B2" s="5" t="s">
        <v>151</v>
      </c>
      <c r="C2" s="5" t="s">
        <v>193</v>
      </c>
      <c r="D2" s="5" t="n">
        <v>2</v>
      </c>
      <c r="E2" s="5" t="n">
        <v>1</v>
      </c>
      <c r="F2" s="5"/>
    </row>
    <row r="3" customFormat="false" ht="15" hidden="false" customHeight="false" outlineLevel="0" collapsed="false">
      <c r="A3" s="5" t="s">
        <v>916</v>
      </c>
      <c r="B3" s="5" t="s">
        <v>151</v>
      </c>
      <c r="C3" s="5" t="s">
        <v>269</v>
      </c>
      <c r="D3" s="5" t="n">
        <v>1</v>
      </c>
      <c r="E3" s="5" t="n">
        <v>1</v>
      </c>
      <c r="F3" s="5"/>
    </row>
    <row r="4" customFormat="false" ht="15" hidden="false" customHeight="false" outlineLevel="0" collapsed="false">
      <c r="A4" s="5" t="s">
        <v>917</v>
      </c>
      <c r="B4" s="5" t="s">
        <v>151</v>
      </c>
      <c r="C4" s="5" t="s">
        <v>234</v>
      </c>
      <c r="D4" s="5" t="n">
        <v>1</v>
      </c>
      <c r="E4" s="5" t="n">
        <v>1</v>
      </c>
      <c r="F4" s="5"/>
    </row>
    <row r="5" customFormat="false" ht="15" hidden="false" customHeight="false" outlineLevel="0" collapsed="false">
      <c r="A5" s="5" t="s">
        <v>918</v>
      </c>
      <c r="B5" s="5" t="s">
        <v>211</v>
      </c>
      <c r="C5" s="5" t="s">
        <v>217</v>
      </c>
      <c r="D5" s="5" t="n">
        <v>1</v>
      </c>
      <c r="E5" s="5" t="n">
        <v>1</v>
      </c>
      <c r="F5" s="5"/>
    </row>
    <row r="6" customFormat="false" ht="15" hidden="false" customHeight="false" outlineLevel="0" collapsed="false">
      <c r="A6" s="5" t="s">
        <v>919</v>
      </c>
      <c r="B6" s="5" t="s">
        <v>211</v>
      </c>
      <c r="C6" s="5" t="s">
        <v>277</v>
      </c>
      <c r="D6" s="5" t="n">
        <v>1</v>
      </c>
      <c r="E6" s="5" t="n">
        <v>1</v>
      </c>
      <c r="F6" s="5"/>
    </row>
    <row r="7" customFormat="false" ht="15" hidden="false" customHeight="false" outlineLevel="0" collapsed="false">
      <c r="A7" s="5" t="s">
        <v>920</v>
      </c>
      <c r="B7" s="5" t="s">
        <v>211</v>
      </c>
      <c r="C7" s="5" t="s">
        <v>209</v>
      </c>
      <c r="D7" s="5" t="n">
        <v>4</v>
      </c>
      <c r="E7" s="5" t="n">
        <v>1</v>
      </c>
      <c r="F7" s="5"/>
    </row>
    <row r="8" customFormat="false" ht="15" hidden="false" customHeight="false" outlineLevel="0" collapsed="false">
      <c r="A8" s="5" t="s">
        <v>921</v>
      </c>
      <c r="B8" s="5" t="s">
        <v>211</v>
      </c>
      <c r="C8" s="5" t="s">
        <v>249</v>
      </c>
      <c r="D8" s="5" t="n">
        <v>4</v>
      </c>
      <c r="E8" s="5" t="n">
        <v>1</v>
      </c>
      <c r="F8" s="5"/>
    </row>
    <row r="9" customFormat="false" ht="15" hidden="false" customHeight="false" outlineLevel="0" collapsed="false">
      <c r="A9" s="5" t="s">
        <v>922</v>
      </c>
      <c r="B9" s="5" t="s">
        <v>247</v>
      </c>
      <c r="C9" s="5" t="s">
        <v>213</v>
      </c>
      <c r="D9" s="5" t="n">
        <v>1</v>
      </c>
      <c r="E9" s="5" t="n">
        <v>1</v>
      </c>
      <c r="F9" s="5"/>
    </row>
    <row r="10" customFormat="false" ht="15" hidden="false" customHeight="false" outlineLevel="0" collapsed="false">
      <c r="A10" s="5" t="s">
        <v>923</v>
      </c>
      <c r="B10" s="5" t="s">
        <v>247</v>
      </c>
      <c r="C10" s="5" t="s">
        <v>176</v>
      </c>
      <c r="D10" s="5" t="n">
        <v>1</v>
      </c>
      <c r="E10" s="5" t="n">
        <v>1</v>
      </c>
      <c r="F10" s="5"/>
    </row>
    <row r="11" customFormat="false" ht="15" hidden="false" customHeight="false" outlineLevel="0" collapsed="false">
      <c r="A11" s="5" t="s">
        <v>924</v>
      </c>
      <c r="B11" s="5" t="s">
        <v>247</v>
      </c>
      <c r="C11" s="5" t="s">
        <v>224</v>
      </c>
      <c r="D11" s="5" t="n">
        <v>1</v>
      </c>
      <c r="E11" s="5" t="n">
        <v>1</v>
      </c>
      <c r="F11" s="5"/>
    </row>
    <row r="12" customFormat="false" ht="15" hidden="false" customHeight="false" outlineLevel="0" collapsed="false">
      <c r="A12" s="5" t="s">
        <v>925</v>
      </c>
      <c r="B12" s="5" t="s">
        <v>247</v>
      </c>
      <c r="C12" s="5" t="s">
        <v>261</v>
      </c>
      <c r="D12" s="5" t="n">
        <v>4</v>
      </c>
      <c r="E12" s="5" t="n">
        <v>1</v>
      </c>
      <c r="F12" s="5"/>
    </row>
    <row r="13" customFormat="false" ht="15" hidden="false" customHeight="false" outlineLevel="0" collapsed="false">
      <c r="A13" s="5" t="s">
        <v>926</v>
      </c>
      <c r="B13" s="5" t="s">
        <v>251</v>
      </c>
      <c r="C13" s="5" t="s">
        <v>201</v>
      </c>
      <c r="D13" s="5" t="n">
        <v>4</v>
      </c>
      <c r="E13" s="5" t="n">
        <v>1</v>
      </c>
      <c r="F13" s="5"/>
    </row>
    <row r="14" customFormat="false" ht="15" hidden="false" customHeight="false" outlineLevel="0" collapsed="false">
      <c r="A14" s="5" t="s">
        <v>927</v>
      </c>
      <c r="B14" s="5" t="s">
        <v>251</v>
      </c>
      <c r="C14" s="5" t="s">
        <v>151</v>
      </c>
      <c r="D14" s="5" t="n">
        <v>1</v>
      </c>
      <c r="E14" s="5" t="n">
        <v>1</v>
      </c>
      <c r="F14" s="5"/>
    </row>
    <row r="15" customFormat="false" ht="15" hidden="false" customHeight="false" outlineLevel="0" collapsed="false">
      <c r="A15" s="5" t="s">
        <v>928</v>
      </c>
      <c r="B15" s="5" t="s">
        <v>251</v>
      </c>
      <c r="C15" s="5" t="s">
        <v>205</v>
      </c>
      <c r="D15" s="5" t="n">
        <v>4</v>
      </c>
      <c r="E15" s="5" t="n">
        <v>1</v>
      </c>
      <c r="F15" s="5"/>
    </row>
    <row r="16" customFormat="false" ht="15" hidden="false" customHeight="false" outlineLevel="0" collapsed="false">
      <c r="A16" s="5" t="s">
        <v>929</v>
      </c>
      <c r="B16" s="5" t="s">
        <v>178</v>
      </c>
      <c r="C16" s="5" t="s">
        <v>217</v>
      </c>
      <c r="D16" s="5" t="n">
        <v>1</v>
      </c>
      <c r="E16" s="5" t="n">
        <v>1</v>
      </c>
      <c r="F16" s="5"/>
    </row>
    <row r="17" customFormat="false" ht="15" hidden="false" customHeight="false" outlineLevel="0" collapsed="false">
      <c r="A17" s="5" t="s">
        <v>930</v>
      </c>
      <c r="B17" s="5" t="s">
        <v>178</v>
      </c>
      <c r="C17" s="5" t="s">
        <v>213</v>
      </c>
      <c r="D17" s="5" t="n">
        <v>2</v>
      </c>
      <c r="E17" s="5" t="n">
        <v>1</v>
      </c>
      <c r="F17" s="5"/>
    </row>
    <row r="18" customFormat="false" ht="15" hidden="false" customHeight="false" outlineLevel="0" collapsed="false">
      <c r="A18" s="5" t="s">
        <v>931</v>
      </c>
      <c r="B18" s="5" t="s">
        <v>178</v>
      </c>
      <c r="C18" s="5" t="s">
        <v>251</v>
      </c>
      <c r="D18" s="5" t="n">
        <v>2</v>
      </c>
      <c r="E18" s="5" t="n">
        <v>1</v>
      </c>
      <c r="F18" s="5"/>
    </row>
    <row r="19" customFormat="false" ht="15" hidden="false" customHeight="false" outlineLevel="0" collapsed="false">
      <c r="A19" s="5" t="s">
        <v>932</v>
      </c>
      <c r="B19" s="5" t="s">
        <v>215</v>
      </c>
      <c r="C19" s="5" t="s">
        <v>201</v>
      </c>
      <c r="D19" s="5" t="n">
        <v>4</v>
      </c>
      <c r="E19" s="5" t="n">
        <v>1</v>
      </c>
      <c r="F19" s="5"/>
    </row>
    <row r="20" customFormat="false" ht="15" hidden="false" customHeight="false" outlineLevel="0" collapsed="false">
      <c r="A20" s="5" t="s">
        <v>933</v>
      </c>
      <c r="B20" s="5" t="s">
        <v>215</v>
      </c>
      <c r="C20" s="5" t="s">
        <v>167</v>
      </c>
      <c r="D20" s="5" t="n">
        <v>2</v>
      </c>
      <c r="E20" s="5" t="n">
        <v>1</v>
      </c>
      <c r="F20" s="5"/>
    </row>
    <row r="21" customFormat="false" ht="15" hidden="false" customHeight="false" outlineLevel="0" collapsed="false">
      <c r="A21" s="5" t="s">
        <v>934</v>
      </c>
      <c r="B21" s="5" t="s">
        <v>215</v>
      </c>
      <c r="C21" s="5" t="s">
        <v>261</v>
      </c>
      <c r="D21" s="5" t="n">
        <v>1</v>
      </c>
      <c r="E21" s="5" t="n">
        <v>1</v>
      </c>
      <c r="F21" s="5"/>
    </row>
    <row r="22" customFormat="false" ht="15" hidden="false" customHeight="false" outlineLevel="0" collapsed="false">
      <c r="A22" s="5" t="s">
        <v>935</v>
      </c>
      <c r="B22" s="5" t="s">
        <v>215</v>
      </c>
      <c r="C22" s="5" t="s">
        <v>183</v>
      </c>
      <c r="D22" s="5" t="n">
        <v>4</v>
      </c>
      <c r="E22" s="5" t="n">
        <v>1</v>
      </c>
      <c r="F22" s="5"/>
    </row>
    <row r="23" customFormat="false" ht="15" hidden="false" customHeight="false" outlineLevel="0" collapsed="false">
      <c r="A23" s="5" t="s">
        <v>936</v>
      </c>
      <c r="B23" s="5" t="s">
        <v>209</v>
      </c>
      <c r="C23" s="5" t="s">
        <v>241</v>
      </c>
      <c r="D23" s="5" t="n">
        <v>2</v>
      </c>
      <c r="E23" s="5" t="n">
        <v>1</v>
      </c>
      <c r="F23" s="5"/>
    </row>
    <row r="24" customFormat="false" ht="15" hidden="false" customHeight="false" outlineLevel="0" collapsed="false">
      <c r="A24" s="5" t="s">
        <v>937</v>
      </c>
      <c r="B24" s="5" t="s">
        <v>209</v>
      </c>
      <c r="C24" s="5" t="s">
        <v>291</v>
      </c>
      <c r="D24" s="5" t="n">
        <v>1</v>
      </c>
      <c r="E24" s="5" t="n">
        <v>1</v>
      </c>
      <c r="F24" s="5"/>
    </row>
    <row r="25" customFormat="false" ht="15" hidden="false" customHeight="false" outlineLevel="0" collapsed="false">
      <c r="A25" s="5" t="s">
        <v>938</v>
      </c>
      <c r="B25" s="5" t="s">
        <v>209</v>
      </c>
      <c r="C25" s="5" t="s">
        <v>289</v>
      </c>
      <c r="D25" s="5" t="n">
        <v>2</v>
      </c>
      <c r="E25" s="5" t="n">
        <v>1</v>
      </c>
      <c r="F25" s="5"/>
    </row>
    <row r="26" customFormat="false" ht="15" hidden="false" customHeight="false" outlineLevel="0" collapsed="false">
      <c r="A26" s="5" t="s">
        <v>939</v>
      </c>
      <c r="B26" s="5" t="s">
        <v>209</v>
      </c>
      <c r="C26" s="5" t="s">
        <v>267</v>
      </c>
      <c r="D26" s="5" t="n">
        <v>2</v>
      </c>
      <c r="E26" s="5" t="n">
        <v>1</v>
      </c>
      <c r="F26" s="5"/>
    </row>
    <row r="27" customFormat="false" ht="15" hidden="false" customHeight="false" outlineLevel="0" collapsed="false">
      <c r="A27" s="5" t="s">
        <v>940</v>
      </c>
      <c r="B27" s="5" t="s">
        <v>232</v>
      </c>
      <c r="C27" s="5" t="s">
        <v>199</v>
      </c>
      <c r="D27" s="5" t="n">
        <v>4</v>
      </c>
      <c r="E27" s="5" t="n">
        <v>1</v>
      </c>
      <c r="F27" s="5"/>
    </row>
    <row r="28" customFormat="false" ht="15" hidden="false" customHeight="false" outlineLevel="0" collapsed="false">
      <c r="A28" s="5" t="s">
        <v>941</v>
      </c>
      <c r="B28" s="5" t="s">
        <v>232</v>
      </c>
      <c r="C28" s="5" t="s">
        <v>186</v>
      </c>
      <c r="D28" s="5" t="n">
        <v>2</v>
      </c>
      <c r="E28" s="5" t="n">
        <v>1</v>
      </c>
      <c r="F28" s="5"/>
    </row>
    <row r="29" customFormat="false" ht="15" hidden="false" customHeight="false" outlineLevel="0" collapsed="false">
      <c r="A29" s="5" t="s">
        <v>942</v>
      </c>
      <c r="B29" s="5" t="s">
        <v>232</v>
      </c>
      <c r="C29" s="5" t="s">
        <v>236</v>
      </c>
      <c r="D29" s="5" t="n">
        <v>4</v>
      </c>
      <c r="E29" s="5" t="n">
        <v>1</v>
      </c>
      <c r="F29" s="5"/>
    </row>
    <row r="30" customFormat="false" ht="15" hidden="false" customHeight="false" outlineLevel="0" collapsed="false">
      <c r="A30" s="5" t="s">
        <v>943</v>
      </c>
      <c r="B30" s="5" t="s">
        <v>232</v>
      </c>
      <c r="C30" s="5" t="s">
        <v>188</v>
      </c>
      <c r="D30" s="5" t="n">
        <v>4</v>
      </c>
      <c r="E30" s="5" t="n">
        <v>1</v>
      </c>
      <c r="F30" s="5"/>
    </row>
    <row r="31" customFormat="false" ht="15" hidden="false" customHeight="false" outlineLevel="0" collapsed="false">
      <c r="A31" s="5" t="s">
        <v>944</v>
      </c>
      <c r="B31" s="5" t="s">
        <v>257</v>
      </c>
      <c r="C31" s="5" t="s">
        <v>279</v>
      </c>
      <c r="D31" s="5" t="n">
        <v>1</v>
      </c>
      <c r="E31" s="5" t="n">
        <v>1</v>
      </c>
      <c r="F31" s="5"/>
    </row>
    <row r="32" customFormat="false" ht="15" hidden="false" customHeight="false" outlineLevel="0" collapsed="false">
      <c r="A32" s="5" t="s">
        <v>945</v>
      </c>
      <c r="B32" s="5" t="s">
        <v>257</v>
      </c>
      <c r="C32" s="5" t="s">
        <v>261</v>
      </c>
      <c r="D32" s="5" t="n">
        <v>1</v>
      </c>
      <c r="E32" s="5" t="n">
        <v>1</v>
      </c>
      <c r="F32" s="5"/>
    </row>
    <row r="33" customFormat="false" ht="15" hidden="false" customHeight="false" outlineLevel="0" collapsed="false">
      <c r="A33" s="5" t="s">
        <v>946</v>
      </c>
      <c r="B33" s="5" t="s">
        <v>257</v>
      </c>
      <c r="C33" s="5" t="s">
        <v>281</v>
      </c>
      <c r="D33" s="5" t="n">
        <v>4</v>
      </c>
      <c r="E33" s="5" t="n">
        <v>1</v>
      </c>
      <c r="F33" s="5"/>
    </row>
    <row r="34" customFormat="false" ht="15" hidden="false" customHeight="false" outlineLevel="0" collapsed="false">
      <c r="A34" s="5" t="s">
        <v>947</v>
      </c>
      <c r="B34" s="5" t="s">
        <v>257</v>
      </c>
      <c r="C34" s="5" t="s">
        <v>197</v>
      </c>
      <c r="D34" s="5" t="n">
        <v>2</v>
      </c>
      <c r="E34" s="5" t="n">
        <v>1</v>
      </c>
      <c r="F34" s="5"/>
    </row>
    <row r="35" customFormat="false" ht="15" hidden="false" customHeight="false" outlineLevel="0" collapsed="false">
      <c r="A35" s="5" t="s">
        <v>948</v>
      </c>
      <c r="B35" s="5" t="s">
        <v>243</v>
      </c>
      <c r="C35" s="5" t="s">
        <v>293</v>
      </c>
      <c r="D35" s="5" t="n">
        <v>1</v>
      </c>
      <c r="E35" s="5" t="n">
        <v>1</v>
      </c>
      <c r="F35" s="5"/>
    </row>
    <row r="36" customFormat="false" ht="15" hidden="false" customHeight="false" outlineLevel="0" collapsed="false">
      <c r="A36" s="5" t="s">
        <v>949</v>
      </c>
      <c r="B36" s="5" t="s">
        <v>243</v>
      </c>
      <c r="C36" s="5" t="s">
        <v>249</v>
      </c>
      <c r="D36" s="5" t="n">
        <v>1</v>
      </c>
      <c r="E36" s="5" t="n">
        <v>1</v>
      </c>
      <c r="F36" s="5"/>
    </row>
    <row r="37" customFormat="false" ht="15" hidden="false" customHeight="false" outlineLevel="0" collapsed="false">
      <c r="A37" s="5" t="s">
        <v>950</v>
      </c>
      <c r="B37" s="5" t="s">
        <v>241</v>
      </c>
      <c r="C37" s="5" t="s">
        <v>291</v>
      </c>
      <c r="D37" s="5" t="n">
        <v>1</v>
      </c>
      <c r="E37" s="5" t="n">
        <v>1</v>
      </c>
      <c r="F37" s="5"/>
    </row>
    <row r="38" customFormat="false" ht="15" hidden="false" customHeight="false" outlineLevel="0" collapsed="false">
      <c r="A38" s="5" t="s">
        <v>951</v>
      </c>
      <c r="B38" s="5" t="s">
        <v>241</v>
      </c>
      <c r="C38" s="5" t="s">
        <v>238</v>
      </c>
      <c r="D38" s="5" t="n">
        <v>1</v>
      </c>
      <c r="E38" s="5" t="n">
        <v>1</v>
      </c>
      <c r="F38" s="5"/>
    </row>
    <row r="39" customFormat="false" ht="15" hidden="false" customHeight="false" outlineLevel="0" collapsed="false">
      <c r="A39" s="5" t="s">
        <v>952</v>
      </c>
      <c r="B39" s="5" t="s">
        <v>241</v>
      </c>
      <c r="C39" s="5" t="s">
        <v>195</v>
      </c>
      <c r="D39" s="5" t="n">
        <v>2</v>
      </c>
      <c r="E39" s="5" t="n">
        <v>1</v>
      </c>
      <c r="F39" s="5"/>
    </row>
    <row r="40" customFormat="false" ht="15" hidden="false" customHeight="false" outlineLevel="0" collapsed="false">
      <c r="A40" s="5" t="s">
        <v>953</v>
      </c>
      <c r="B40" s="5" t="s">
        <v>241</v>
      </c>
      <c r="C40" s="5" t="s">
        <v>249</v>
      </c>
      <c r="D40" s="5" t="n">
        <v>4</v>
      </c>
      <c r="E40" s="5" t="n">
        <v>1</v>
      </c>
      <c r="F40" s="5"/>
    </row>
    <row r="41" customFormat="false" ht="15" hidden="false" customHeight="false" outlineLevel="0" collapsed="false">
      <c r="A41" s="5" t="s">
        <v>954</v>
      </c>
      <c r="B41" s="5" t="s">
        <v>236</v>
      </c>
      <c r="C41" s="5" t="s">
        <v>263</v>
      </c>
      <c r="D41" s="5" t="n">
        <v>4</v>
      </c>
      <c r="E41" s="5" t="n">
        <v>1</v>
      </c>
      <c r="F41" s="5"/>
    </row>
    <row r="42" customFormat="false" ht="15" hidden="false" customHeight="false" outlineLevel="0" collapsed="false">
      <c r="A42" s="5" t="s">
        <v>955</v>
      </c>
      <c r="B42" s="5" t="s">
        <v>236</v>
      </c>
      <c r="C42" s="5" t="s">
        <v>197</v>
      </c>
      <c r="D42" s="5" t="n">
        <v>1</v>
      </c>
      <c r="E42" s="5" t="n">
        <v>1</v>
      </c>
      <c r="F42" s="5"/>
    </row>
    <row r="43" customFormat="false" ht="15" hidden="false" customHeight="false" outlineLevel="0" collapsed="false">
      <c r="A43" s="5" t="s">
        <v>956</v>
      </c>
      <c r="B43" s="5" t="s">
        <v>186</v>
      </c>
      <c r="C43" s="5" t="s">
        <v>232</v>
      </c>
      <c r="D43" s="5" t="n">
        <v>1</v>
      </c>
      <c r="E43" s="5" t="n">
        <v>1</v>
      </c>
      <c r="F43" s="5"/>
    </row>
    <row r="44" customFormat="false" ht="15" hidden="false" customHeight="false" outlineLevel="0" collapsed="false">
      <c r="A44" s="5" t="s">
        <v>957</v>
      </c>
      <c r="B44" s="5" t="s">
        <v>186</v>
      </c>
      <c r="C44" s="5" t="s">
        <v>279</v>
      </c>
      <c r="D44" s="5" t="n">
        <v>4</v>
      </c>
      <c r="E44" s="5" t="n">
        <v>1</v>
      </c>
      <c r="F44" s="5"/>
    </row>
    <row r="45" customFormat="false" ht="15" hidden="false" customHeight="false" outlineLevel="0" collapsed="false">
      <c r="A45" s="5" t="s">
        <v>958</v>
      </c>
      <c r="B45" s="5" t="s">
        <v>186</v>
      </c>
      <c r="C45" s="5" t="s">
        <v>167</v>
      </c>
      <c r="D45" s="5" t="n">
        <v>4</v>
      </c>
      <c r="E45" s="5" t="n">
        <v>1</v>
      </c>
      <c r="F45" s="5"/>
    </row>
    <row r="46" customFormat="false" ht="15" hidden="false" customHeight="false" outlineLevel="0" collapsed="false">
      <c r="A46" s="5" t="s">
        <v>959</v>
      </c>
      <c r="B46" s="5" t="s">
        <v>186</v>
      </c>
      <c r="C46" s="5" t="s">
        <v>234</v>
      </c>
      <c r="D46" s="5" t="n">
        <v>1</v>
      </c>
      <c r="E46" s="5" t="n">
        <v>1</v>
      </c>
      <c r="F46" s="5"/>
    </row>
    <row r="47" customFormat="false" ht="15" hidden="false" customHeight="false" outlineLevel="0" collapsed="false">
      <c r="A47" s="5" t="s">
        <v>960</v>
      </c>
      <c r="B47" s="5" t="s">
        <v>238</v>
      </c>
      <c r="C47" s="5" t="s">
        <v>232</v>
      </c>
      <c r="D47" s="5" t="n">
        <v>1</v>
      </c>
      <c r="E47" s="5" t="n">
        <v>1</v>
      </c>
      <c r="F47" s="5"/>
    </row>
    <row r="48" customFormat="false" ht="15" hidden="false" customHeight="false" outlineLevel="0" collapsed="false">
      <c r="A48" s="5" t="s">
        <v>961</v>
      </c>
      <c r="B48" s="5" t="s">
        <v>238</v>
      </c>
      <c r="C48" s="5" t="s">
        <v>263</v>
      </c>
      <c r="D48" s="5" t="n">
        <v>4</v>
      </c>
      <c r="E48" s="5" t="n">
        <v>1</v>
      </c>
      <c r="F48" s="5"/>
    </row>
    <row r="49" customFormat="false" ht="15" hidden="false" customHeight="false" outlineLevel="0" collapsed="false">
      <c r="A49" s="5" t="s">
        <v>962</v>
      </c>
      <c r="B49" s="5" t="s">
        <v>238</v>
      </c>
      <c r="C49" s="5" t="s">
        <v>279</v>
      </c>
      <c r="D49" s="5" t="n">
        <v>2</v>
      </c>
      <c r="E49" s="5" t="n">
        <v>1</v>
      </c>
      <c r="F49" s="5"/>
    </row>
    <row r="50" customFormat="false" ht="15" hidden="false" customHeight="false" outlineLevel="0" collapsed="false">
      <c r="A50" s="5" t="s">
        <v>963</v>
      </c>
      <c r="B50" s="5" t="s">
        <v>238</v>
      </c>
      <c r="C50" s="5" t="s">
        <v>211</v>
      </c>
      <c r="D50" s="5" t="n">
        <v>1</v>
      </c>
      <c r="E50" s="5" t="n">
        <v>1</v>
      </c>
      <c r="F50" s="5"/>
    </row>
    <row r="51" customFormat="false" ht="15" hidden="false" customHeight="false" outlineLevel="0" collapsed="false">
      <c r="A51" s="5" t="s">
        <v>964</v>
      </c>
      <c r="B51" s="5" t="s">
        <v>279</v>
      </c>
      <c r="C51" s="5" t="s">
        <v>197</v>
      </c>
      <c r="D51" s="5" t="n">
        <v>4</v>
      </c>
      <c r="E51" s="5" t="n">
        <v>1</v>
      </c>
      <c r="F51" s="5"/>
    </row>
    <row r="52" customFormat="false" ht="15" hidden="false" customHeight="false" outlineLevel="0" collapsed="false">
      <c r="A52" s="5" t="s">
        <v>965</v>
      </c>
      <c r="B52" s="5" t="s">
        <v>279</v>
      </c>
      <c r="C52" s="5" t="s">
        <v>249</v>
      </c>
      <c r="D52" s="5" t="n">
        <v>2</v>
      </c>
      <c r="E52" s="5" t="n">
        <v>1</v>
      </c>
      <c r="F52" s="5"/>
    </row>
    <row r="53" customFormat="false" ht="15" hidden="false" customHeight="false" outlineLevel="0" collapsed="false">
      <c r="A53" s="5" t="s">
        <v>966</v>
      </c>
      <c r="B53" s="5" t="s">
        <v>279</v>
      </c>
      <c r="C53" s="5" t="s">
        <v>171</v>
      </c>
      <c r="D53" s="5" t="n">
        <v>1</v>
      </c>
      <c r="E53" s="5" t="n">
        <v>1</v>
      </c>
      <c r="F53" s="5"/>
    </row>
    <row r="54" customFormat="false" ht="15" hidden="false" customHeight="false" outlineLevel="0" collapsed="false">
      <c r="A54" s="5" t="s">
        <v>967</v>
      </c>
      <c r="B54" s="5" t="s">
        <v>279</v>
      </c>
      <c r="C54" s="5" t="s">
        <v>164</v>
      </c>
      <c r="D54" s="5" t="n">
        <v>1</v>
      </c>
      <c r="E54" s="5" t="n">
        <v>1</v>
      </c>
      <c r="F54" s="5"/>
    </row>
    <row r="55" customFormat="false" ht="15" hidden="false" customHeight="false" outlineLevel="0" collapsed="false">
      <c r="A55" s="5" t="s">
        <v>968</v>
      </c>
      <c r="B55" s="5" t="s">
        <v>207</v>
      </c>
      <c r="C55" s="5" t="s">
        <v>236</v>
      </c>
      <c r="D55" s="5" t="n">
        <v>2</v>
      </c>
      <c r="E55" s="5" t="n">
        <v>1</v>
      </c>
      <c r="F55" s="5"/>
    </row>
    <row r="56" customFormat="false" ht="15" hidden="false" customHeight="false" outlineLevel="0" collapsed="false">
      <c r="A56" s="5" t="s">
        <v>969</v>
      </c>
      <c r="B56" s="5" t="s">
        <v>207</v>
      </c>
      <c r="C56" s="5" t="s">
        <v>164</v>
      </c>
      <c r="D56" s="5" t="n">
        <v>4</v>
      </c>
      <c r="E56" s="5" t="n">
        <v>1</v>
      </c>
      <c r="F56" s="5"/>
    </row>
    <row r="57" customFormat="false" ht="15" hidden="false" customHeight="false" outlineLevel="0" collapsed="false">
      <c r="A57" s="5" t="s">
        <v>970</v>
      </c>
      <c r="B57" s="5" t="s">
        <v>195</v>
      </c>
      <c r="C57" s="5" t="s">
        <v>275</v>
      </c>
      <c r="D57" s="5" t="n">
        <v>4</v>
      </c>
      <c r="E57" s="5" t="n">
        <v>1</v>
      </c>
      <c r="F57" s="5"/>
    </row>
    <row r="58" customFormat="false" ht="15" hidden="false" customHeight="false" outlineLevel="0" collapsed="false">
      <c r="A58" s="5" t="s">
        <v>971</v>
      </c>
      <c r="B58" s="5" t="s">
        <v>195</v>
      </c>
      <c r="C58" s="5" t="s">
        <v>186</v>
      </c>
      <c r="D58" s="5" t="n">
        <v>2</v>
      </c>
      <c r="E58" s="5" t="n">
        <v>1</v>
      </c>
      <c r="F58" s="5"/>
    </row>
    <row r="59" customFormat="false" ht="15" hidden="false" customHeight="false" outlineLevel="0" collapsed="false">
      <c r="A59" s="5" t="s">
        <v>972</v>
      </c>
      <c r="B59" s="5" t="s">
        <v>183</v>
      </c>
      <c r="C59" s="5" t="s">
        <v>232</v>
      </c>
      <c r="D59" s="5" t="n">
        <v>4</v>
      </c>
      <c r="E59" s="5" t="n">
        <v>1</v>
      </c>
      <c r="F59" s="5"/>
    </row>
    <row r="60" customFormat="false" ht="15" hidden="false" customHeight="false" outlineLevel="0" collapsed="false">
      <c r="A60" s="5" t="s">
        <v>973</v>
      </c>
      <c r="B60" s="5" t="s">
        <v>183</v>
      </c>
      <c r="C60" s="5" t="s">
        <v>287</v>
      </c>
      <c r="D60" s="5" t="n">
        <v>4</v>
      </c>
      <c r="E60" s="5" t="n">
        <v>1</v>
      </c>
      <c r="F60" s="5"/>
    </row>
    <row r="61" customFormat="false" ht="15" hidden="false" customHeight="false" outlineLevel="0" collapsed="false">
      <c r="A61" s="5" t="s">
        <v>974</v>
      </c>
      <c r="B61" s="5" t="s">
        <v>183</v>
      </c>
      <c r="C61" s="5" t="s">
        <v>293</v>
      </c>
      <c r="D61" s="5" t="n">
        <v>1</v>
      </c>
      <c r="E61" s="5" t="n">
        <v>1</v>
      </c>
      <c r="F61" s="5"/>
    </row>
    <row r="62" customFormat="false" ht="15" hidden="false" customHeight="false" outlineLevel="0" collapsed="false">
      <c r="A62" s="6" t="s">
        <v>975</v>
      </c>
      <c r="B62" s="6" t="s">
        <v>151</v>
      </c>
      <c r="C62" s="6" t="s">
        <v>976</v>
      </c>
      <c r="D62" s="6" t="n">
        <v>2</v>
      </c>
      <c r="E62" s="6" t="n">
        <v>1</v>
      </c>
      <c r="F62" s="6" t="s">
        <v>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42"/>
    <col collapsed="false" customWidth="true" hidden="false" outlineLevel="0" max="7" min="7" style="0" width="13"/>
    <col collapsed="false" customWidth="true" hidden="false" outlineLevel="0" max="8" min="8" style="0" width="19"/>
  </cols>
  <sheetData>
    <row r="1" customFormat="false" ht="15" hidden="false" customHeight="false" outlineLevel="0" collapsed="false">
      <c r="A1" s="4" t="s">
        <v>978</v>
      </c>
      <c r="B1" s="4" t="s">
        <v>979</v>
      </c>
      <c r="C1" s="4" t="s">
        <v>980</v>
      </c>
      <c r="D1" s="4" t="s">
        <v>981</v>
      </c>
      <c r="E1" s="4" t="s">
        <v>982</v>
      </c>
      <c r="F1" s="4" t="s">
        <v>983</v>
      </c>
      <c r="G1" s="4" t="s">
        <v>984</v>
      </c>
      <c r="H1" s="4" t="s">
        <v>985</v>
      </c>
    </row>
    <row r="2" customFormat="false" ht="15" hidden="false" customHeight="false" outlineLevel="0" collapsed="false">
      <c r="A2" s="5" t="s">
        <v>986</v>
      </c>
      <c r="B2" s="5" t="s">
        <v>987</v>
      </c>
      <c r="C2" s="5" t="s">
        <v>988</v>
      </c>
      <c r="D2" s="5" t="s">
        <v>989</v>
      </c>
      <c r="E2" s="5"/>
      <c r="F2" s="5" t="s">
        <v>990</v>
      </c>
      <c r="G2" s="5" t="s">
        <v>547</v>
      </c>
      <c r="H2" s="5" t="s">
        <v>991</v>
      </c>
    </row>
    <row r="3" customFormat="false" ht="15" hidden="false" customHeight="false" outlineLevel="0" collapsed="false">
      <c r="A3" s="5" t="s">
        <v>992</v>
      </c>
      <c r="B3" s="5" t="s">
        <v>993</v>
      </c>
      <c r="C3" s="5" t="s">
        <v>994</v>
      </c>
      <c r="D3" s="5" t="s">
        <v>989</v>
      </c>
      <c r="E3" s="5"/>
      <c r="F3" s="5" t="s">
        <v>995</v>
      </c>
      <c r="G3" s="5" t="s">
        <v>419</v>
      </c>
      <c r="H3" s="5" t="s">
        <v>991</v>
      </c>
    </row>
    <row r="4" customFormat="false" ht="15" hidden="false" customHeight="false" outlineLevel="0" collapsed="false">
      <c r="A4" s="5" t="s">
        <v>996</v>
      </c>
      <c r="B4" s="5" t="s">
        <v>993</v>
      </c>
      <c r="C4" s="5" t="s">
        <v>997</v>
      </c>
      <c r="D4" s="5" t="s">
        <v>998</v>
      </c>
      <c r="E4" s="5"/>
      <c r="F4" s="5" t="s">
        <v>999</v>
      </c>
      <c r="G4" s="5" t="s">
        <v>1000</v>
      </c>
      <c r="H4" s="5" t="s">
        <v>1001</v>
      </c>
    </row>
    <row r="5" customFormat="false" ht="15" hidden="false" customHeight="false" outlineLevel="0" collapsed="false">
      <c r="A5" s="5" t="s">
        <v>1002</v>
      </c>
      <c r="B5" s="5" t="s">
        <v>993</v>
      </c>
      <c r="C5" s="5" t="s">
        <v>1003</v>
      </c>
      <c r="D5" s="5" t="s">
        <v>989</v>
      </c>
      <c r="E5" s="5"/>
      <c r="F5" s="5" t="s">
        <v>1004</v>
      </c>
      <c r="G5" s="5" t="s">
        <v>459</v>
      </c>
      <c r="H5" s="5" t="s">
        <v>991</v>
      </c>
    </row>
    <row r="6" customFormat="false" ht="15" hidden="false" customHeight="false" outlineLevel="0" collapsed="false">
      <c r="A6" s="5" t="s">
        <v>1005</v>
      </c>
      <c r="B6" s="5" t="s">
        <v>1006</v>
      </c>
      <c r="C6" s="5" t="s">
        <v>1007</v>
      </c>
      <c r="D6" s="5" t="s">
        <v>1008</v>
      </c>
      <c r="E6" s="5"/>
      <c r="F6" s="5" t="s">
        <v>1009</v>
      </c>
      <c r="G6" s="5" t="s">
        <v>498</v>
      </c>
      <c r="H6" s="5" t="s">
        <v>1010</v>
      </c>
    </row>
    <row r="7" customFormat="false" ht="15" hidden="false" customHeight="false" outlineLevel="0" collapsed="false">
      <c r="A7" s="5" t="s">
        <v>1011</v>
      </c>
      <c r="B7" s="5" t="s">
        <v>982</v>
      </c>
      <c r="C7" s="5" t="s">
        <v>1012</v>
      </c>
      <c r="D7" s="5" t="s">
        <v>998</v>
      </c>
      <c r="E7" s="5" t="s">
        <v>1013</v>
      </c>
      <c r="F7" s="5" t="s">
        <v>1014</v>
      </c>
      <c r="G7" s="5" t="s">
        <v>648</v>
      </c>
      <c r="H7" s="5" t="s">
        <v>1001</v>
      </c>
    </row>
    <row r="8" customFormat="false" ht="15" hidden="false" customHeight="false" outlineLevel="0" collapsed="false">
      <c r="A8" s="5" t="s">
        <v>1015</v>
      </c>
      <c r="B8" s="5" t="s">
        <v>982</v>
      </c>
      <c r="C8" s="5" t="s">
        <v>1016</v>
      </c>
      <c r="D8" s="5" t="s">
        <v>1017</v>
      </c>
      <c r="E8" s="5" t="s">
        <v>1018</v>
      </c>
      <c r="F8" s="5" t="s">
        <v>1019</v>
      </c>
      <c r="G8" s="5" t="s">
        <v>537</v>
      </c>
      <c r="H8" s="5" t="s">
        <v>1020</v>
      </c>
    </row>
    <row r="9" customFormat="false" ht="15" hidden="false" customHeight="false" outlineLevel="0" collapsed="false">
      <c r="A9" s="5" t="s">
        <v>1021</v>
      </c>
      <c r="B9" s="5" t="s">
        <v>982</v>
      </c>
      <c r="C9" s="5" t="s">
        <v>1022</v>
      </c>
      <c r="D9" s="5" t="s">
        <v>1008</v>
      </c>
      <c r="E9" s="5" t="s">
        <v>1023</v>
      </c>
      <c r="F9" s="5" t="s">
        <v>1024</v>
      </c>
      <c r="G9" s="5" t="s">
        <v>622</v>
      </c>
      <c r="H9" s="5" t="s">
        <v>1010</v>
      </c>
    </row>
    <row r="10" customFormat="false" ht="15" hidden="false" customHeight="false" outlineLevel="0" collapsed="false">
      <c r="A10" s="5" t="s">
        <v>1025</v>
      </c>
      <c r="B10" s="5" t="s">
        <v>987</v>
      </c>
      <c r="C10" s="5" t="s">
        <v>1026</v>
      </c>
      <c r="D10" s="5" t="s">
        <v>1027</v>
      </c>
      <c r="E10" s="5"/>
      <c r="F10" s="5" t="s">
        <v>1028</v>
      </c>
      <c r="G10" s="5" t="s">
        <v>397</v>
      </c>
      <c r="H10" s="5" t="s">
        <v>1029</v>
      </c>
    </row>
    <row r="11" customFormat="false" ht="15" hidden="false" customHeight="false" outlineLevel="0" collapsed="false">
      <c r="A11" s="5" t="s">
        <v>1030</v>
      </c>
      <c r="B11" s="5" t="s">
        <v>987</v>
      </c>
      <c r="C11" s="5" t="s">
        <v>1031</v>
      </c>
      <c r="D11" s="5" t="s">
        <v>1032</v>
      </c>
      <c r="E11" s="5"/>
      <c r="F11" s="5" t="s">
        <v>1033</v>
      </c>
      <c r="G11" s="5" t="s">
        <v>623</v>
      </c>
      <c r="H11" s="5" t="s">
        <v>1034</v>
      </c>
    </row>
    <row r="12" customFormat="false" ht="15" hidden="false" customHeight="false" outlineLevel="0" collapsed="false">
      <c r="A12" s="5" t="s">
        <v>1035</v>
      </c>
      <c r="B12" s="5" t="s">
        <v>993</v>
      </c>
      <c r="C12" s="5" t="s">
        <v>1036</v>
      </c>
      <c r="D12" s="5" t="s">
        <v>998</v>
      </c>
      <c r="E12" s="5"/>
      <c r="F12" s="5" t="s">
        <v>1037</v>
      </c>
      <c r="G12" s="5" t="s">
        <v>816</v>
      </c>
      <c r="H12" s="5" t="s">
        <v>1001</v>
      </c>
    </row>
    <row r="13" customFormat="false" ht="15" hidden="false" customHeight="false" outlineLevel="0" collapsed="false">
      <c r="A13" s="5" t="s">
        <v>1038</v>
      </c>
      <c r="B13" s="5" t="s">
        <v>1006</v>
      </c>
      <c r="C13" s="5" t="s">
        <v>1039</v>
      </c>
      <c r="D13" s="5" t="s">
        <v>989</v>
      </c>
      <c r="E13" s="5"/>
      <c r="F13" s="5" t="s">
        <v>1040</v>
      </c>
      <c r="G13" s="5" t="s">
        <v>329</v>
      </c>
      <c r="H13" s="5" t="s">
        <v>991</v>
      </c>
    </row>
    <row r="14" customFormat="false" ht="15" hidden="false" customHeight="false" outlineLevel="0" collapsed="false">
      <c r="A14" s="5" t="s">
        <v>1041</v>
      </c>
      <c r="B14" s="5" t="s">
        <v>982</v>
      </c>
      <c r="C14" s="5" t="s">
        <v>1042</v>
      </c>
      <c r="D14" s="5" t="s">
        <v>989</v>
      </c>
      <c r="E14" s="5" t="s">
        <v>1043</v>
      </c>
      <c r="F14" s="5" t="s">
        <v>1044</v>
      </c>
      <c r="G14" s="5" t="s">
        <v>1045</v>
      </c>
      <c r="H14" s="5" t="s">
        <v>991</v>
      </c>
    </row>
    <row r="15" customFormat="false" ht="15" hidden="false" customHeight="false" outlineLevel="0" collapsed="false">
      <c r="A15" s="5" t="s">
        <v>1046</v>
      </c>
      <c r="B15" s="5" t="s">
        <v>993</v>
      </c>
      <c r="C15" s="5" t="s">
        <v>1047</v>
      </c>
      <c r="D15" s="5" t="s">
        <v>1017</v>
      </c>
      <c r="E15" s="5"/>
      <c r="F15" s="5" t="s">
        <v>1048</v>
      </c>
      <c r="G15" s="5" t="s">
        <v>355</v>
      </c>
      <c r="H15" s="5" t="s">
        <v>1020</v>
      </c>
    </row>
    <row r="16" customFormat="false" ht="15" hidden="false" customHeight="false" outlineLevel="0" collapsed="false">
      <c r="A16" s="5" t="s">
        <v>1049</v>
      </c>
      <c r="B16" s="5" t="s">
        <v>1006</v>
      </c>
      <c r="C16" s="5" t="s">
        <v>1050</v>
      </c>
      <c r="D16" s="5" t="s">
        <v>998</v>
      </c>
      <c r="E16" s="5"/>
      <c r="F16" s="5" t="s">
        <v>1051</v>
      </c>
      <c r="G16" s="5" t="s">
        <v>506</v>
      </c>
      <c r="H16" s="5" t="s">
        <v>991</v>
      </c>
    </row>
    <row r="17" customFormat="false" ht="15" hidden="false" customHeight="false" outlineLevel="0" collapsed="false">
      <c r="A17" s="5" t="s">
        <v>1052</v>
      </c>
      <c r="B17" s="5" t="s">
        <v>993</v>
      </c>
      <c r="C17" s="5" t="s">
        <v>1053</v>
      </c>
      <c r="D17" s="5" t="s">
        <v>998</v>
      </c>
      <c r="E17" s="5"/>
      <c r="F17" s="5" t="s">
        <v>1054</v>
      </c>
      <c r="G17" s="5" t="s">
        <v>348</v>
      </c>
      <c r="H17" s="5" t="s">
        <v>1001</v>
      </c>
    </row>
    <row r="18" customFormat="false" ht="15" hidden="false" customHeight="false" outlineLevel="0" collapsed="false">
      <c r="A18" s="5" t="s">
        <v>1055</v>
      </c>
      <c r="B18" s="5" t="s">
        <v>987</v>
      </c>
      <c r="C18" s="5" t="s">
        <v>1056</v>
      </c>
      <c r="D18" s="5" t="s">
        <v>1008</v>
      </c>
      <c r="E18" s="5"/>
      <c r="F18" s="5" t="s">
        <v>1057</v>
      </c>
      <c r="G18" s="5" t="s">
        <v>538</v>
      </c>
      <c r="H18" s="5" t="s">
        <v>1010</v>
      </c>
    </row>
    <row r="19" customFormat="false" ht="15" hidden="false" customHeight="false" outlineLevel="0" collapsed="false">
      <c r="A19" s="5" t="s">
        <v>1058</v>
      </c>
      <c r="B19" s="5" t="s">
        <v>982</v>
      </c>
      <c r="C19" s="5" t="s">
        <v>1059</v>
      </c>
      <c r="D19" s="5" t="s">
        <v>1008</v>
      </c>
      <c r="E19" s="5" t="s">
        <v>1060</v>
      </c>
      <c r="F19" s="5" t="s">
        <v>1061</v>
      </c>
      <c r="G19" s="5" t="s">
        <v>420</v>
      </c>
      <c r="H19" s="5" t="s">
        <v>1010</v>
      </c>
    </row>
    <row r="20" customFormat="false" ht="15" hidden="false" customHeight="false" outlineLevel="0" collapsed="false">
      <c r="A20" s="5" t="s">
        <v>1062</v>
      </c>
      <c r="B20" s="5" t="s">
        <v>1006</v>
      </c>
      <c r="C20" s="5" t="s">
        <v>1063</v>
      </c>
      <c r="D20" s="5" t="s">
        <v>989</v>
      </c>
      <c r="E20" s="5"/>
      <c r="F20" s="5" t="s">
        <v>1064</v>
      </c>
      <c r="G20" s="5" t="s">
        <v>1065</v>
      </c>
      <c r="H20" s="5" t="s">
        <v>991</v>
      </c>
    </row>
    <row r="21" customFormat="false" ht="15" hidden="false" customHeight="false" outlineLevel="0" collapsed="false">
      <c r="A21" s="5" t="s">
        <v>1066</v>
      </c>
      <c r="B21" s="5" t="s">
        <v>993</v>
      </c>
      <c r="C21" s="5" t="s">
        <v>1067</v>
      </c>
      <c r="D21" s="5" t="s">
        <v>1032</v>
      </c>
      <c r="E21" s="5"/>
      <c r="F21" s="5" t="s">
        <v>1068</v>
      </c>
      <c r="G21" s="5" t="s">
        <v>650</v>
      </c>
      <c r="H21" s="5" t="s">
        <v>1034</v>
      </c>
    </row>
    <row r="22" customFormat="false" ht="15" hidden="false" customHeight="false" outlineLevel="0" collapsed="false">
      <c r="A22" s="5" t="s">
        <v>1069</v>
      </c>
      <c r="B22" s="5" t="s">
        <v>987</v>
      </c>
      <c r="C22" s="5" t="s">
        <v>1070</v>
      </c>
      <c r="D22" s="5" t="s">
        <v>1071</v>
      </c>
      <c r="E22" s="5"/>
      <c r="F22" s="5" t="s">
        <v>1072</v>
      </c>
      <c r="G22" s="5" t="s">
        <v>677</v>
      </c>
      <c r="H22" s="5" t="s">
        <v>1073</v>
      </c>
    </row>
    <row r="23" customFormat="false" ht="15" hidden="false" customHeight="false" outlineLevel="0" collapsed="false">
      <c r="A23" s="5" t="s">
        <v>1074</v>
      </c>
      <c r="B23" s="5" t="s">
        <v>1006</v>
      </c>
      <c r="C23" s="5" t="s">
        <v>1075</v>
      </c>
      <c r="D23" s="5" t="s">
        <v>1071</v>
      </c>
      <c r="E23" s="5"/>
      <c r="F23" s="5" t="s">
        <v>1076</v>
      </c>
      <c r="G23" s="5" t="s">
        <v>415</v>
      </c>
      <c r="H23" s="5" t="s">
        <v>1077</v>
      </c>
    </row>
    <row r="24" customFormat="false" ht="15" hidden="false" customHeight="false" outlineLevel="0" collapsed="false">
      <c r="A24" s="5" t="s">
        <v>1078</v>
      </c>
      <c r="B24" s="5" t="s">
        <v>993</v>
      </c>
      <c r="C24" s="5" t="s">
        <v>1079</v>
      </c>
      <c r="D24" s="5" t="s">
        <v>989</v>
      </c>
      <c r="E24" s="5"/>
      <c r="F24" s="5" t="s">
        <v>1080</v>
      </c>
      <c r="G24" s="5" t="s">
        <v>321</v>
      </c>
      <c r="H24" s="5" t="s">
        <v>991</v>
      </c>
    </row>
    <row r="25" customFormat="false" ht="15" hidden="false" customHeight="false" outlineLevel="0" collapsed="false">
      <c r="A25" s="5" t="s">
        <v>1081</v>
      </c>
      <c r="B25" s="5" t="s">
        <v>982</v>
      </c>
      <c r="C25" s="5" t="s">
        <v>1082</v>
      </c>
      <c r="D25" s="5" t="s">
        <v>998</v>
      </c>
      <c r="E25" s="5" t="s">
        <v>1083</v>
      </c>
      <c r="F25" s="5" t="s">
        <v>1084</v>
      </c>
      <c r="G25" s="5" t="s">
        <v>441</v>
      </c>
      <c r="H25" s="5" t="s">
        <v>1073</v>
      </c>
    </row>
    <row r="26" customFormat="false" ht="15" hidden="false" customHeight="false" outlineLevel="0" collapsed="false">
      <c r="A26" s="5" t="s">
        <v>1085</v>
      </c>
      <c r="B26" s="5" t="s">
        <v>1006</v>
      </c>
      <c r="C26" s="5" t="s">
        <v>1086</v>
      </c>
      <c r="D26" s="5" t="s">
        <v>1071</v>
      </c>
      <c r="E26" s="5"/>
      <c r="F26" s="5" t="s">
        <v>1087</v>
      </c>
      <c r="G26" s="5" t="s">
        <v>461</v>
      </c>
      <c r="H26" s="5" t="s">
        <v>1073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9"/>
    <col collapsed="false" customWidth="true" hidden="false" outlineLevel="0" max="4" min="4" style="0" width="42"/>
    <col collapsed="false" customWidth="true" hidden="false" outlineLevel="0" max="5" min="5" style="0" width="13"/>
    <col collapsed="false" customWidth="true" hidden="false" outlineLevel="0" max="6" min="6" style="0" width="42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4" t="s">
        <v>1088</v>
      </c>
      <c r="B1" s="4" t="s">
        <v>1089</v>
      </c>
      <c r="C1" s="4" t="s">
        <v>143</v>
      </c>
      <c r="D1" s="4" t="s">
        <v>1090</v>
      </c>
      <c r="E1" s="4" t="s">
        <v>1091</v>
      </c>
      <c r="F1" s="4" t="s">
        <v>1092</v>
      </c>
      <c r="G1" s="4" t="s">
        <v>1093</v>
      </c>
    </row>
    <row r="2" customFormat="false" ht="15" hidden="false" customHeight="false" outlineLevel="0" collapsed="false">
      <c r="A2" s="5" t="s">
        <v>1094</v>
      </c>
      <c r="B2" s="5" t="s">
        <v>1095</v>
      </c>
      <c r="C2" s="5" t="s">
        <v>1096</v>
      </c>
      <c r="D2" s="5" t="s">
        <v>1097</v>
      </c>
      <c r="E2" s="5" t="s">
        <v>1098</v>
      </c>
      <c r="F2" s="5" t="s">
        <v>1099</v>
      </c>
      <c r="G2" s="5" t="s">
        <v>1100</v>
      </c>
    </row>
    <row r="3" customFormat="false" ht="15" hidden="false" customHeight="false" outlineLevel="0" collapsed="false">
      <c r="A3" s="5" t="s">
        <v>1101</v>
      </c>
      <c r="B3" s="5" t="s">
        <v>1102</v>
      </c>
      <c r="C3" s="5" t="s">
        <v>1103</v>
      </c>
      <c r="D3" s="5" t="s">
        <v>1104</v>
      </c>
      <c r="E3" s="5" t="s">
        <v>1098</v>
      </c>
      <c r="F3" s="5" t="s">
        <v>1105</v>
      </c>
      <c r="G3" s="5" t="s">
        <v>1100</v>
      </c>
    </row>
    <row r="4" customFormat="false" ht="15" hidden="false" customHeight="false" outlineLevel="0" collapsed="false">
      <c r="A4" s="5" t="s">
        <v>1106</v>
      </c>
      <c r="B4" s="5" t="s">
        <v>1107</v>
      </c>
      <c r="C4" s="5" t="s">
        <v>1103</v>
      </c>
      <c r="D4" s="5" t="s">
        <v>1108</v>
      </c>
      <c r="E4" s="5" t="s">
        <v>1098</v>
      </c>
      <c r="F4" s="5" t="s">
        <v>1109</v>
      </c>
      <c r="G4" s="5" t="s">
        <v>1110</v>
      </c>
    </row>
    <row r="5" customFormat="false" ht="15" hidden="false" customHeight="false" outlineLevel="0" collapsed="false">
      <c r="A5" s="5" t="s">
        <v>1111</v>
      </c>
      <c r="B5" s="5" t="s">
        <v>1112</v>
      </c>
      <c r="C5" s="5" t="s">
        <v>1113</v>
      </c>
      <c r="D5" s="5" t="s">
        <v>1114</v>
      </c>
      <c r="E5" s="5" t="s">
        <v>1098</v>
      </c>
      <c r="F5" s="5" t="s">
        <v>1115</v>
      </c>
      <c r="G5" s="5" t="s">
        <v>1100</v>
      </c>
    </row>
    <row r="6" customFormat="false" ht="15" hidden="false" customHeight="false" outlineLevel="0" collapsed="false">
      <c r="A6" s="5" t="s">
        <v>1116</v>
      </c>
      <c r="B6" s="5" t="s">
        <v>1117</v>
      </c>
      <c r="C6" s="5" t="s">
        <v>1118</v>
      </c>
      <c r="D6" s="5" t="s">
        <v>1119</v>
      </c>
      <c r="E6" s="5" t="s">
        <v>1120</v>
      </c>
      <c r="F6" s="5" t="s">
        <v>1121</v>
      </c>
      <c r="G6" s="5" t="s">
        <v>1110</v>
      </c>
    </row>
    <row r="7" customFormat="false" ht="15" hidden="false" customHeight="false" outlineLevel="0" collapsed="false">
      <c r="A7" s="5" t="s">
        <v>1122</v>
      </c>
      <c r="B7" s="5" t="s">
        <v>1123</v>
      </c>
      <c r="C7" s="5" t="s">
        <v>1124</v>
      </c>
      <c r="D7" s="5" t="s">
        <v>1125</v>
      </c>
      <c r="E7" s="5" t="s">
        <v>1098</v>
      </c>
      <c r="F7" s="5" t="s">
        <v>1126</v>
      </c>
      <c r="G7" s="5" t="s">
        <v>1100</v>
      </c>
    </row>
    <row r="8" customFormat="false" ht="15" hidden="false" customHeight="false" outlineLevel="0" collapsed="false">
      <c r="A8" s="5" t="s">
        <v>1127</v>
      </c>
      <c r="B8" s="5" t="s">
        <v>1128</v>
      </c>
      <c r="C8" s="5" t="s">
        <v>1129</v>
      </c>
      <c r="D8" s="5" t="s">
        <v>1130</v>
      </c>
      <c r="E8" s="5" t="s">
        <v>1098</v>
      </c>
      <c r="F8" s="5" t="s">
        <v>1131</v>
      </c>
      <c r="G8" s="5" t="s">
        <v>1132</v>
      </c>
    </row>
    <row r="9" customFormat="false" ht="15" hidden="false" customHeight="false" outlineLevel="0" collapsed="false">
      <c r="A9" s="5" t="s">
        <v>1133</v>
      </c>
      <c r="B9" s="5" t="s">
        <v>1134</v>
      </c>
      <c r="C9" s="5" t="s">
        <v>1135</v>
      </c>
      <c r="D9" s="5" t="s">
        <v>1136</v>
      </c>
      <c r="E9" s="5" t="s">
        <v>1120</v>
      </c>
      <c r="F9" s="5" t="s">
        <v>1137</v>
      </c>
      <c r="G9" s="5" t="s">
        <v>1110</v>
      </c>
    </row>
    <row r="10" customFormat="false" ht="15" hidden="false" customHeight="false" outlineLevel="0" collapsed="false">
      <c r="A10" s="5" t="s">
        <v>1138</v>
      </c>
      <c r="B10" s="5" t="s">
        <v>1139</v>
      </c>
      <c r="C10" s="5" t="s">
        <v>1140</v>
      </c>
      <c r="D10" s="5" t="s">
        <v>1141</v>
      </c>
      <c r="E10" s="5" t="s">
        <v>1120</v>
      </c>
      <c r="F10" s="5" t="s">
        <v>1142</v>
      </c>
      <c r="G10" s="5" t="s">
        <v>1110</v>
      </c>
    </row>
    <row r="11" customFormat="false" ht="15" hidden="false" customHeight="false" outlineLevel="0" collapsed="false">
      <c r="A11" s="5" t="s">
        <v>1143</v>
      </c>
      <c r="B11" s="5" t="s">
        <v>1144</v>
      </c>
      <c r="C11" s="5" t="s">
        <v>1145</v>
      </c>
      <c r="D11" s="5" t="s">
        <v>1146</v>
      </c>
      <c r="E11" s="5" t="s">
        <v>1098</v>
      </c>
      <c r="F11" s="5" t="s">
        <v>1147</v>
      </c>
      <c r="G11" s="5" t="s">
        <v>1100</v>
      </c>
    </row>
    <row r="12" customFormat="false" ht="15" hidden="false" customHeight="false" outlineLevel="0" collapsed="false">
      <c r="A12" s="5" t="s">
        <v>1148</v>
      </c>
      <c r="B12" s="5" t="s">
        <v>1149</v>
      </c>
      <c r="C12" s="5" t="s">
        <v>1124</v>
      </c>
      <c r="D12" s="5" t="s">
        <v>1150</v>
      </c>
      <c r="E12" s="5" t="s">
        <v>1098</v>
      </c>
      <c r="F12" s="5" t="s">
        <v>1151</v>
      </c>
      <c r="G12" s="5" t="s">
        <v>1100</v>
      </c>
    </row>
    <row r="13" customFormat="false" ht="15" hidden="false" customHeight="false" outlineLevel="0" collapsed="false">
      <c r="A13" s="5" t="s">
        <v>1152</v>
      </c>
      <c r="B13" s="5" t="s">
        <v>1153</v>
      </c>
      <c r="C13" s="5" t="s">
        <v>1154</v>
      </c>
      <c r="D13" s="5" t="s">
        <v>1155</v>
      </c>
      <c r="E13" s="5" t="s">
        <v>1098</v>
      </c>
      <c r="F13" s="5" t="s">
        <v>1156</v>
      </c>
      <c r="G13" s="5" t="s">
        <v>1100</v>
      </c>
    </row>
    <row r="14" customFormat="false" ht="15" hidden="false" customHeight="false" outlineLevel="0" collapsed="false">
      <c r="A14" s="5" t="s">
        <v>1157</v>
      </c>
      <c r="B14" s="5" t="s">
        <v>1158</v>
      </c>
      <c r="C14" s="5" t="s">
        <v>1096</v>
      </c>
      <c r="D14" s="5" t="s">
        <v>1159</v>
      </c>
      <c r="E14" s="5" t="s">
        <v>1098</v>
      </c>
      <c r="F14" s="5" t="s">
        <v>1160</v>
      </c>
      <c r="G14" s="5" t="s">
        <v>1132</v>
      </c>
    </row>
    <row r="15" customFormat="false" ht="15" hidden="false" customHeight="false" outlineLevel="0" collapsed="false">
      <c r="A15" s="5" t="s">
        <v>1161</v>
      </c>
      <c r="B15" s="5" t="s">
        <v>1162</v>
      </c>
      <c r="C15" s="5" t="s">
        <v>1124</v>
      </c>
      <c r="D15" s="5" t="s">
        <v>1163</v>
      </c>
      <c r="E15" s="5" t="s">
        <v>1098</v>
      </c>
      <c r="F15" s="5" t="s">
        <v>1164</v>
      </c>
      <c r="G15" s="5" t="s">
        <v>1100</v>
      </c>
    </row>
    <row r="16" customFormat="false" ht="15" hidden="false" customHeight="false" outlineLevel="0" collapsed="false">
      <c r="A16" s="5" t="s">
        <v>1165</v>
      </c>
      <c r="B16" s="5" t="s">
        <v>1166</v>
      </c>
      <c r="C16" s="5" t="s">
        <v>1167</v>
      </c>
      <c r="D16" s="5" t="s">
        <v>1168</v>
      </c>
      <c r="E16" s="5" t="s">
        <v>1098</v>
      </c>
      <c r="F16" s="5" t="s">
        <v>1169</v>
      </c>
      <c r="G16" s="5" t="s">
        <v>1100</v>
      </c>
    </row>
    <row r="17" customFormat="false" ht="15" hidden="false" customHeight="false" outlineLevel="0" collapsed="false">
      <c r="A17" s="5" t="s">
        <v>1170</v>
      </c>
      <c r="B17" s="5" t="s">
        <v>1171</v>
      </c>
      <c r="C17" s="5" t="s">
        <v>1172</v>
      </c>
      <c r="D17" s="5" t="s">
        <v>1173</v>
      </c>
      <c r="E17" s="5" t="s">
        <v>1098</v>
      </c>
      <c r="F17" s="5" t="s">
        <v>1174</v>
      </c>
      <c r="G17" s="5" t="s">
        <v>1132</v>
      </c>
    </row>
    <row r="18" customFormat="false" ht="15" hidden="false" customHeight="false" outlineLevel="0" collapsed="false">
      <c r="A18" s="5" t="s">
        <v>1175</v>
      </c>
      <c r="B18" s="5" t="s">
        <v>1176</v>
      </c>
      <c r="C18" s="5" t="s">
        <v>1177</v>
      </c>
      <c r="D18" s="5" t="s">
        <v>1178</v>
      </c>
      <c r="E18" s="5" t="s">
        <v>1098</v>
      </c>
      <c r="F18" s="5" t="s">
        <v>1179</v>
      </c>
      <c r="G18" s="5" t="s">
        <v>1132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2026-09-10T08:28:12.8391852Z</dcterms:created>
  <dc:creator>Chakravarthy, Praveen (Digital Solutions IN I-TP)</dc:creator>
  <dc:description/>
  <dc:language>en-US</dc:language>
  <lastModifiedBy>Chakravarthy, Praveen (Digital Solutions IN I-TP)</lastModifiedBy>
  <dcterms:modified xsi:type="dcterms:W3CDTF">2026-09-10T08:28:12.8391852Z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